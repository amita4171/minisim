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 Questions" sheetId="1" state="visible" r:id="rId3"/>
    <sheet name="Mode Collapse Tests" sheetId="2" state="visible" r:id="rId4"/>
    <sheet name="Calibration Benchmarks" sheetId="3" state="visible" r:id="rId5"/>
    <sheet name="Agent Diversity Specs" sheetId="4" state="visible" r:id="rId6"/>
    <sheet name="Context Ablation" sheetId="5" state="visible" r:id="rId7"/>
    <sheet name="Aggregation Methods" sheetId="6" state="visible" r:id="rId8"/>
    <sheet name="Backtest Registry" sheetId="7" state="visible" r:id="rId9"/>
    <sheet name="Scoring Formulas" sheetId="8" state="visible" r:id="rId10"/>
    <sheet name="Coverage Dashboard" sheetId="9" state="visible" r:id="rId11"/>
  </sheets>
  <definedNames>
    <definedName function="false" hidden="true" localSheetId="3" name="_xlnm._FilterDatabase" vbProcedure="false">'Agent Diversity Specs'!$A$1:$J$1</definedName>
    <definedName function="false" hidden="true" localSheetId="5" name="_xlnm._FilterDatabase" vbProcedure="false">'Aggregation Methods'!$A$1:$H$1</definedName>
    <definedName function="false" hidden="true" localSheetId="6" name="_xlnm._FilterDatabase" vbProcedure="false">'Backtest Registry'!$A$1:$N$1</definedName>
    <definedName function="false" hidden="true" localSheetId="2" name="_xlnm._FilterDatabase" vbProcedure="false">'Calibration Benchmarks'!$A$1:$H$1</definedName>
    <definedName function="false" hidden="true" localSheetId="4" name="_xlnm._FilterDatabase" vbProcedure="false">'Context Ablation'!$A$1:$I$1</definedName>
    <definedName function="false" hidden="true" localSheetId="8" name="_xlnm._FilterDatabase" vbProcedure="false">'Coverage Dashboard'!$A$1:$B$1</definedName>
    <definedName function="false" hidden="true" localSheetId="1" name="_xlnm._FilterDatabase" vbProcedure="false">'Mode Collapse Tests'!$A$1:$J$1</definedName>
    <definedName function="false" hidden="true" localSheetId="0" name="_xlnm._FilterDatabase" vbProcedure="false">'Prediction Questions'!$A$1:$Q$1</definedName>
    <definedName function="false" hidden="true" localSheetId="7" name="_xlnm._FilterDatabase" vbProcedure="false">'Scoring Formulas'!$A$1:$E$1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<sst xmlns="http://schemas.openxmlformats.org/spreadsheetml/2006/main" count="1643" uniqueCount="1123">
  <si>
    <t xml:space="preserve">Q_ID</t>
  </si>
  <si>
    <t xml:space="preserve">Category</t>
  </si>
  <si>
    <t xml:space="preserve">Sub-Category</t>
  </si>
  <si>
    <t xml:space="preserve">Question</t>
  </si>
  <si>
    <t xml:space="preserve">Resolution_Date</t>
  </si>
  <si>
    <t xml:space="preserve">Actual_Resolution</t>
  </si>
  <si>
    <t xml:space="preserve">True_Probability</t>
  </si>
  <si>
    <t xml:space="preserve">Difficulty</t>
  </si>
  <si>
    <t xml:space="preserve">Seed_Context</t>
  </si>
  <si>
    <t xml:space="preserve">Context_Quality</t>
  </si>
  <si>
    <t xml:space="preserve">Expected_P_Range_Low</t>
  </si>
  <si>
    <t xml:space="preserve">Expected_P_Range_High</t>
  </si>
  <si>
    <t xml:space="preserve">Known_Biases</t>
  </si>
  <si>
    <t xml:space="preserve">Source</t>
  </si>
  <si>
    <t xml:space="preserve">Market_Price</t>
  </si>
  <si>
    <t xml:space="preserve">Edge_Case_Tags</t>
  </si>
  <si>
    <t xml:space="preserve">Notes</t>
  </si>
  <si>
    <t xml:space="preserve">ECON-001</t>
  </si>
  <si>
    <t xml:space="preserve">Economics</t>
  </si>
  <si>
    <t xml:space="preserve">Monetary Policy</t>
  </si>
  <si>
    <t xml:space="preserve">Will the Federal Reserve cut the federal funds rate at the May 2026 FOMC meeting?</t>
  </si>
  <si>
    <t xml:space="preserve">2026-05-07</t>
  </si>
  <si>
    <t xml:space="preserve">PENDING</t>
  </si>
  <si>
    <t xml:space="preserve">Medium</t>
  </si>
  <si>
    <t xml:space="preserve">Fed held rates at 4.25-4.50% at March 2026 meeting. Inflation 2.8% YoY Feb 2026. Feb jobs +180k, unemployment 4.1%. Powell signaled 'patience' and 'data dependence'. CME FedWatch: 35% probability May cut.</t>
  </si>
  <si>
    <t xml:space="preserve">High</t>
  </si>
  <si>
    <t xml:space="preserve">Recency bias, anchoring to market price</t>
  </si>
  <si>
    <t xml:space="preserve">CME FedWatch / FOMC</t>
  </si>
  <si>
    <t xml:space="preserve">monetary_policy, high_frequency</t>
  </si>
  <si>
    <t xml:space="preserve">ECON-002</t>
  </si>
  <si>
    <t xml:space="preserve">Will the Federal Reserve cut rates at least once before September 2026?</t>
  </si>
  <si>
    <t xml:space="preserve">2026-09-30</t>
  </si>
  <si>
    <t xml:space="preserve">Easy</t>
  </si>
  <si>
    <t xml:space="preserve">Markets price ~2 cuts by end of 2026. Inflation trending down but above target. Labor market softening gradually.</t>
  </si>
  <si>
    <t xml:space="preserve">Overconfidence in rate cut timing</t>
  </si>
  <si>
    <t xml:space="preserve">CME FedWatch</t>
  </si>
  <si>
    <t xml:space="preserve">monetary_policy, cumulative</t>
  </si>
  <si>
    <t xml:space="preserve">ECON-003</t>
  </si>
  <si>
    <t xml:space="preserve">Inflation</t>
  </si>
  <si>
    <t xml:space="preserve">Will US CPI year-over-year inflation fall below 2.5% before July 2026?</t>
  </si>
  <si>
    <t xml:space="preserve">2026-07-31</t>
  </si>
  <si>
    <t xml:space="preserve">CPI at 2.8% as of Feb 2026. Core PCE at 2.6%. Shelter inflation still elevated. Used car prices declining.</t>
  </si>
  <si>
    <t xml:space="preserve">Anchoring to recent trend</t>
  </si>
  <si>
    <t xml:space="preserve">BLS CPI Data</t>
  </si>
  <si>
    <t xml:space="preserve">inflation, threshold</t>
  </si>
  <si>
    <t xml:space="preserve">ECON-004</t>
  </si>
  <si>
    <t xml:space="preserve">Labor Market</t>
  </si>
  <si>
    <t xml:space="preserve">Will US unemployment exceed 4.5% at any point in 2026?</t>
  </si>
  <si>
    <t xml:space="preserve">2026-12-31</t>
  </si>
  <si>
    <t xml:space="preserve">Unemployment at 4.1% Feb 2026. JOLTS openings declining. Tech layoffs continue. Construction hiring steady.</t>
  </si>
  <si>
    <t xml:space="preserve">Availability bias from layoff headlines</t>
  </si>
  <si>
    <t xml:space="preserve">BLS</t>
  </si>
  <si>
    <t xml:space="preserve">labor, threshold</t>
  </si>
  <si>
    <t xml:space="preserve">ECON-005</t>
  </si>
  <si>
    <t xml:space="preserve">GDP</t>
  </si>
  <si>
    <t xml:space="preserve">Will US real GDP growth in Q1 2026 exceed 2.0% (annualized)?</t>
  </si>
  <si>
    <t xml:space="preserve">2026-04-30</t>
  </si>
  <si>
    <t xml:space="preserve">Q4 2025 GDP +2.3%. Atlanta Fed GDPNow tracking +1.8% for Q1. Consumer spending resilient. Business investment mixed.</t>
  </si>
  <si>
    <t xml:space="preserve">Overweighting recent quarters</t>
  </si>
  <si>
    <t xml:space="preserve">BEA / Atlanta Fed</t>
  </si>
  <si>
    <t xml:space="preserve">gdp, quarterly</t>
  </si>
  <si>
    <t xml:space="preserve">ECON-006</t>
  </si>
  <si>
    <t xml:space="preserve">Housing</t>
  </si>
  <si>
    <t xml:space="preserve">Will the median US existing home sale price exceed $400,000 in March 2026?</t>
  </si>
  <si>
    <t xml:space="preserve">2026-04-15</t>
  </si>
  <si>
    <t xml:space="preserve">Median price $387k Jan 2026. Inventory still low. Mortgage rates ~6.8%. Spring buying season approaching.</t>
  </si>
  <si>
    <t xml:space="preserve">Seasonal adjustment confusion</t>
  </si>
  <si>
    <t xml:space="preserve">NAR</t>
  </si>
  <si>
    <t xml:space="preserve">housing, threshold</t>
  </si>
  <si>
    <t xml:space="preserve">ECON-007</t>
  </si>
  <si>
    <t xml:space="preserve">Trade</t>
  </si>
  <si>
    <t xml:space="preserve">Will the US impose new tariffs on Chinese goods exceeding 25% in 2026?</t>
  </si>
  <si>
    <t xml:space="preserve">Hard</t>
  </si>
  <si>
    <t xml:space="preserve">Existing tariffs at 25% on $250B. Biden maintained Trump tariffs. Election rhetoric favors tough trade stance. China retaliation risk.</t>
  </si>
  <si>
    <t xml:space="preserve">Low</t>
  </si>
  <si>
    <t xml:space="preserve">Political bias</t>
  </si>
  <si>
    <t xml:space="preserve">USTR / Trade data</t>
  </si>
  <si>
    <t xml:space="preserve">trade_policy, geopolitical</t>
  </si>
  <si>
    <t xml:space="preserve">ECON-008</t>
  </si>
  <si>
    <t xml:space="preserve">Recession</t>
  </si>
  <si>
    <t xml:space="preserve">Will the NBER declare a US recession starting in 2026?</t>
  </si>
  <si>
    <t xml:space="preserve">2027-12-31</t>
  </si>
  <si>
    <t xml:space="preserve">Yield curve uninverted. LEI mixed. Consumer confidence declining. Corporate earnings still growing. Sahm rule not triggered.</t>
  </si>
  <si>
    <t xml:space="preserve">Recession prediction bias, headline fear</t>
  </si>
  <si>
    <t xml:space="preserve">NBER</t>
  </si>
  <si>
    <t xml:space="preserve">recession, long_horizon</t>
  </si>
  <si>
    <t xml:space="preserve">ECON-009</t>
  </si>
  <si>
    <t xml:space="preserve">Crypto</t>
  </si>
  <si>
    <t xml:space="preserve">Will Bitcoin exceed $120,000 at any point in Q2 2026?</t>
  </si>
  <si>
    <t xml:space="preserve">2026-06-30</t>
  </si>
  <si>
    <t xml:space="preserve">BTC at ~$87k March 2026. ETF inflows strong. Halving effect fading. Macro uncertainty high. Institutional adoption growing.</t>
  </si>
  <si>
    <t xml:space="preserve">Crypto enthusiasm bias</t>
  </si>
  <si>
    <t xml:space="preserve">CoinGecko</t>
  </si>
  <si>
    <t xml:space="preserve">crypto, volatile_asset</t>
  </si>
  <si>
    <t xml:space="preserve">ECON-010</t>
  </si>
  <si>
    <t xml:space="preserve">Oil</t>
  </si>
  <si>
    <t xml:space="preserve">Will WTI crude oil average above $80/barrel in Q2 2026?</t>
  </si>
  <si>
    <t xml:space="preserve">WTI at $72 March 2026. OPEC+ extending cuts. US production at record highs. China demand uncertain. Middle East tensions.</t>
  </si>
  <si>
    <t xml:space="preserve">Geopolitical risk overweighting</t>
  </si>
  <si>
    <t xml:space="preserve">EIA</t>
  </si>
  <si>
    <t xml:space="preserve">commodities, average</t>
  </si>
  <si>
    <t xml:space="preserve">ECON-011</t>
  </si>
  <si>
    <t xml:space="preserve">Tech Sector</t>
  </si>
  <si>
    <t xml:space="preserve">Will Nvidia's market cap exceed $4 trillion before July 2026?</t>
  </si>
  <si>
    <t xml:space="preserve">2026-07-01</t>
  </si>
  <si>
    <t xml:space="preserve">NVDA market cap ~$3.2T March 2026. AI spending accelerating. Blackwell ramp in progress. Competition from AMD, custom chips.</t>
  </si>
  <si>
    <t xml:space="preserve">Tech enthusiasm, momentum bias</t>
  </si>
  <si>
    <t xml:space="preserve">Yahoo Finance</t>
  </si>
  <si>
    <t xml:space="preserve">single_stock, market_cap</t>
  </si>
  <si>
    <t xml:space="preserve">ECON-012</t>
  </si>
  <si>
    <t xml:space="preserve">Will the US economy add more than 200k jobs in any single month of Q2 2026?</t>
  </si>
  <si>
    <t xml:space="preserve">Recent months: 180k, 195k, 210k, 175k. Seasonal hiring patterns. Government hiring steady.</t>
  </si>
  <si>
    <t xml:space="preserve">Anchoring to recent numbers</t>
  </si>
  <si>
    <t xml:space="preserve">labor, threshold, monthly</t>
  </si>
  <si>
    <t xml:space="preserve">ECON-013</t>
  </si>
  <si>
    <t xml:space="preserve">Consumer</t>
  </si>
  <si>
    <t xml:space="preserve">Will US retail sales year-over-year growth turn negative in 2026?</t>
  </si>
  <si>
    <t xml:space="preserve">Retail sales +3.2% YoY Feb 2026. Credit card delinquencies rising. Student loan payments resumed. Savings rate declining.</t>
  </si>
  <si>
    <t xml:space="preserve">Pessimism bias from delinquency headlines</t>
  </si>
  <si>
    <t xml:space="preserve">Census Bureau</t>
  </si>
  <si>
    <t xml:space="preserve">consumer, annual</t>
  </si>
  <si>
    <t xml:space="preserve">ECON-014</t>
  </si>
  <si>
    <t xml:space="preserve">Will the ECB cut rates more than the Fed in 2026 (total basis points)?</t>
  </si>
  <si>
    <t xml:space="preserve">ECB at 3.75%, already cut twice in 2025. Fed at 4.25-4.50%, zero cuts yet in 2026. Eurozone growth weaker than US.</t>
  </si>
  <si>
    <t xml:space="preserve">Home bias (US-centric agents)</t>
  </si>
  <si>
    <t xml:space="preserve">ECB / Fed</t>
  </si>
  <si>
    <t xml:space="preserve">comparative, central_banks</t>
  </si>
  <si>
    <t xml:space="preserve">ECON-015</t>
  </si>
  <si>
    <t xml:space="preserve">Debt</t>
  </si>
  <si>
    <t xml:space="preserve">Will the US 10-year Treasury yield exceed 5.0% at any point in 2026?</t>
  </si>
  <si>
    <t xml:space="preserve">10Y at 4.35% March 2026. Deficit spending elevated. Treasury issuance heavy. Foreign demand uncertain.</t>
  </si>
  <si>
    <t xml:space="preserve">Anchoring to recent range</t>
  </si>
  <si>
    <t xml:space="preserve">Treasury.gov</t>
  </si>
  <si>
    <t xml:space="preserve">rates, threshold</t>
  </si>
  <si>
    <t xml:space="preserve">GEO-001</t>
  </si>
  <si>
    <t xml:space="preserve">Geopolitics</t>
  </si>
  <si>
    <t xml:space="preserve">Conflict</t>
  </si>
  <si>
    <t xml:space="preserve">Will there be a formal ceasefire agreement in the Russia-Ukraine war before 2027?</t>
  </si>
  <si>
    <t xml:space="preserve">2027-01-01</t>
  </si>
  <si>
    <t xml:space="preserve">War in its 4th year. Trump administration pushing negotiations. Russia controlling ~20% of Ukrainian territory. Ukraine fatigue in Europe. China mediating.</t>
  </si>
  <si>
    <t xml:space="preserve">Wishful thinking bias, status quo bias</t>
  </si>
  <si>
    <t xml:space="preserve">UN / Reuters</t>
  </si>
  <si>
    <t xml:space="preserve">conflict, long_horizon</t>
  </si>
  <si>
    <t xml:space="preserve">GEO-002</t>
  </si>
  <si>
    <t xml:space="preserve">Will Israel and Hamas reach a permanent ceasefire agreement in 2026?</t>
  </si>
  <si>
    <t xml:space="preserve">Temporary truces have collapsed. Hostage negotiations ongoing. Regional escalation risk. International pressure increasing.</t>
  </si>
  <si>
    <t xml:space="preserve">Recency of temporary agreements</t>
  </si>
  <si>
    <t xml:space="preserve">Reuters / AP</t>
  </si>
  <si>
    <t xml:space="preserve">conflict, middle_east</t>
  </si>
  <si>
    <t xml:space="preserve">GEO-003</t>
  </si>
  <si>
    <t xml:space="preserve">Taiwan</t>
  </si>
  <si>
    <t xml:space="preserve">Will China conduct military exercises within 12nm of Taiwan in 2026?</t>
  </si>
  <si>
    <t xml:space="preserve">Last major exercises Aug 2022. Tensions elevated after Taiwan elections. US arms sales continuing. Pelosi visit precedent.</t>
  </si>
  <si>
    <t xml:space="preserve">Catastrophizing, availability bias</t>
  </si>
  <si>
    <t xml:space="preserve">DoD / CSIS</t>
  </si>
  <si>
    <t xml:space="preserve">military, taiwan</t>
  </si>
  <si>
    <t xml:space="preserve">GEO-004</t>
  </si>
  <si>
    <t xml:space="preserve">Elections</t>
  </si>
  <si>
    <t xml:space="preserve">Will the UK call a snap general election before 2027?</t>
  </si>
  <si>
    <t xml:space="preserve">Labour won July 2024 with large majority. Starmer approval declining. Economic challenges. No constitutional requirement.</t>
  </si>
  <si>
    <t xml:space="preserve">Projection of US politics onto UK</t>
  </si>
  <si>
    <t xml:space="preserve">UK Parliament</t>
  </si>
  <si>
    <t xml:space="preserve">elections, unlikely</t>
  </si>
  <si>
    <t xml:space="preserve">GEO-005</t>
  </si>
  <si>
    <t xml:space="preserve">Will the EU impose digital services taxes on US tech companies exceeding current rates in 2026?</t>
  </si>
  <si>
    <t xml:space="preserve">OECD Pillar One stalled. France, Spain already have DSTs. US threatening retaliation. Tech lobby strong.</t>
  </si>
  <si>
    <t xml:space="preserve">US-centric bias</t>
  </si>
  <si>
    <t xml:space="preserve">European Commission</t>
  </si>
  <si>
    <t xml:space="preserve">trade, technology</t>
  </si>
  <si>
    <t xml:space="preserve">GEO-006</t>
  </si>
  <si>
    <t xml:space="preserve">Climate</t>
  </si>
  <si>
    <t xml:space="preserve">Will global CO2 emissions in 2026 be lower than 2025?</t>
  </si>
  <si>
    <t xml:space="preserve">2027-03-01</t>
  </si>
  <si>
    <t xml:space="preserve">Emissions rose 1.1% in 2025. China coal expansion. Renewable deployment record pace. India growth offsetting gains.</t>
  </si>
  <si>
    <t xml:space="preserve">Optimism bias from renewable headlines</t>
  </si>
  <si>
    <t xml:space="preserve">IEA / GCP</t>
  </si>
  <si>
    <t xml:space="preserve">climate, annual</t>
  </si>
  <si>
    <t xml:space="preserve">GEO-007</t>
  </si>
  <si>
    <t xml:space="preserve">Will North Korea conduct a nuclear weapons test in 2026?</t>
  </si>
  <si>
    <t xml:space="preserve">Last test Sept 2017. Satellite imagery shows activity. Kim Jong Un rhetoric escalating. Tactical nuke development reported.</t>
  </si>
  <si>
    <t xml:space="preserve">Threat inflation</t>
  </si>
  <si>
    <t xml:space="preserve">38 North / IAEA</t>
  </si>
  <si>
    <t xml:space="preserve">nuclear, military</t>
  </si>
  <si>
    <t xml:space="preserve">GEO-008</t>
  </si>
  <si>
    <t xml:space="preserve">Sanctions</t>
  </si>
  <si>
    <t xml:space="preserve">Will the US impose new sanctions on Russian energy exports in 2026?</t>
  </si>
  <si>
    <t xml:space="preserve">Existing sanctions on oil price cap. Shadow fleet evading. India/China buying discounted crude. Trump less hawkish on Russia.</t>
  </si>
  <si>
    <t xml:space="preserve">Treasury OFAC</t>
  </si>
  <si>
    <t xml:space="preserve">sanctions, energy</t>
  </si>
  <si>
    <t xml:space="preserve">GEO-009</t>
  </si>
  <si>
    <t xml:space="preserve">AI Governance</t>
  </si>
  <si>
    <t xml:space="preserve">Will the EU AI Act result in a major fine (&gt;100M EUR) against a US tech company in 2026?</t>
  </si>
  <si>
    <t xml:space="preserve">AI Act enforcement began Feb 2025. Compliance timelines staggered. Investigation periods lengthy. Meta, OpenAI, Google flagged.</t>
  </si>
  <si>
    <t xml:space="preserve">Overestimating enforcement speed</t>
  </si>
  <si>
    <t xml:space="preserve">EU Commission</t>
  </si>
  <si>
    <t xml:space="preserve">regulation, technology</t>
  </si>
  <si>
    <t xml:space="preserve">GEO-010</t>
  </si>
  <si>
    <t xml:space="preserve">Space</t>
  </si>
  <si>
    <t xml:space="preserve">Will India successfully land a spacecraft on the Moon in 2026?</t>
  </si>
  <si>
    <t xml:space="preserve">Chandrayaan-3 succeeded Aug 2023. Chandrayaan-4 sample return planned 2028. No 2026 landing mission announced.</t>
  </si>
  <si>
    <t xml:space="preserve">Confusion with Chandrayaan-4 timeline</t>
  </si>
  <si>
    <t xml:space="preserve">ISRO</t>
  </si>
  <si>
    <t xml:space="preserve">space, unlikely</t>
  </si>
  <si>
    <t xml:space="preserve">TECH-001</t>
  </si>
  <si>
    <t xml:space="preserve">Technology</t>
  </si>
  <si>
    <t xml:space="preserve">AI</t>
  </si>
  <si>
    <t xml:space="preserve">Will OpenAI release GPT-5 (or equivalent next-gen model) before July 2026?</t>
  </si>
  <si>
    <t xml:space="preserve">GPT-4o released May 2024. o1 released Sept 2024. o3 released Jan 2025. Rumors of GPT-5 training completion. Competitive pressure from Claude, Gemini.</t>
  </si>
  <si>
    <t xml:space="preserve">Hype cycle bias</t>
  </si>
  <si>
    <t xml:space="preserve">OpenAI / TechCrunch</t>
  </si>
  <si>
    <t xml:space="preserve">ai_models, release_date</t>
  </si>
  <si>
    <t xml:space="preserve">TECH-002</t>
  </si>
  <si>
    <t xml:space="preserve">Will any AI model achieve &gt;90% on the ARC-AGI benchmark before 2027?</t>
  </si>
  <si>
    <t xml:space="preserve">o3 scored 87.5% on ARC-AGI Dec 2024. Rapid progress. But remaining 12.5% is disproportionately hard. Chollet skeptical of brute-force approaches.</t>
  </si>
  <si>
    <t xml:space="preserve">Extrapolation of recent progress</t>
  </si>
  <si>
    <t xml:space="preserve">ARC Prize</t>
  </si>
  <si>
    <t xml:space="preserve">ai_benchmark, threshold</t>
  </si>
  <si>
    <t xml:space="preserve">TECH-003</t>
  </si>
  <si>
    <t xml:space="preserve">Will Anthropic raise a funding round valuing the company at &gt;$100B in 2026?</t>
  </si>
  <si>
    <t xml:space="preserve">Anthropic valued at $61B as of Dec 2024. Revenue growing rapidly. Claude competitive. Google, Amazon invested. AI market expanding.</t>
  </si>
  <si>
    <t xml:space="preserve">Insider optimism</t>
  </si>
  <si>
    <t xml:space="preserve">TechCrunch / PitchBook</t>
  </si>
  <si>
    <t xml:space="preserve">funding, valuation</t>
  </si>
  <si>
    <t xml:space="preserve">TECH-004</t>
  </si>
  <si>
    <t xml:space="preserve">Robotics</t>
  </si>
  <si>
    <t xml:space="preserve">Will Tesla begin delivering Optimus robots to external customers in 2026?</t>
  </si>
  <si>
    <t xml:space="preserve">Optimus Gen 2 demo Dec 2024. Internal Tesla factory use. Musk claims 2026 external sales. History of missed timelines.</t>
  </si>
  <si>
    <t xml:space="preserve">Musk timeline optimism</t>
  </si>
  <si>
    <t xml:space="preserve">Tesla IR</t>
  </si>
  <si>
    <t xml:space="preserve">robotics, delivery</t>
  </si>
  <si>
    <t xml:space="preserve">TECH-005</t>
  </si>
  <si>
    <t xml:space="preserve">Quantum</t>
  </si>
  <si>
    <t xml:space="preserve">Will any company demonstrate quantum advantage on a commercially relevant problem in 2026?</t>
  </si>
  <si>
    <t xml:space="preserve">Google Willow chip Dec 2024. IBM Condor 1,121 qubits. Error correction improving. But practical applications still years away for most uses.</t>
  </si>
  <si>
    <t xml:space="preserve">Quantum hype cycle</t>
  </si>
  <si>
    <t xml:space="preserve">Nature / arXiv</t>
  </si>
  <si>
    <t xml:space="preserve">quantum, breakthrough</t>
  </si>
  <si>
    <t xml:space="preserve">TECH-006</t>
  </si>
  <si>
    <t xml:space="preserve">Social Media</t>
  </si>
  <si>
    <t xml:space="preserve">Will TikTok be banned or forced to divest in the US by end of 2026?</t>
  </si>
  <si>
    <t xml:space="preserve">Supreme Court upheld ban law Jan 2025. Trump extended deadline. ByteDance exploring options. Political bipartisan support for action.</t>
  </si>
  <si>
    <t xml:space="preserve">Political prediction difficulty</t>
  </si>
  <si>
    <t xml:space="preserve">Congress / Reuters</t>
  </si>
  <si>
    <t xml:space="preserve">regulation, social_media</t>
  </si>
  <si>
    <t xml:space="preserve">TECH-007</t>
  </si>
  <si>
    <t xml:space="preserve">EV</t>
  </si>
  <si>
    <t xml:space="preserve">Will US EV market share of new car sales exceed 12% in 2026?</t>
  </si>
  <si>
    <t xml:space="preserve">2027-01-31</t>
  </si>
  <si>
    <t xml:space="preserve">EV share ~10% in 2025. Tesla dominance declining. Legacy OEMs ramping. Charging infrastructure improving. IRA incentives active.</t>
  </si>
  <si>
    <t xml:space="preserve">EV adoption S-curve uncertainty</t>
  </si>
  <si>
    <t xml:space="preserve">IEA / BNEF</t>
  </si>
  <si>
    <t xml:space="preserve">ev, market_share</t>
  </si>
  <si>
    <t xml:space="preserve">TECH-008</t>
  </si>
  <si>
    <t xml:space="preserve">AI Safety</t>
  </si>
  <si>
    <t xml:space="preserve">Will any country pass comprehensive AI safety legislation in 2026?</t>
  </si>
  <si>
    <t xml:space="preserve">EU AI Act already passed. US executive orders only. UK AI Safety Institute. China has AI regulations. Canada, Brazil considering.</t>
  </si>
  <si>
    <t xml:space="preserve">Definition ambiguity ('comprehensive')</t>
  </si>
  <si>
    <t xml:space="preserve">Various govts</t>
  </si>
  <si>
    <t xml:space="preserve">regulation, definition_ambiguity</t>
  </si>
  <si>
    <t xml:space="preserve">TECH-009</t>
  </si>
  <si>
    <t xml:space="preserve">Biotech</t>
  </si>
  <si>
    <t xml:space="preserve">Will the FDA approve a CRISPR-based therapy for a non-rare disease in 2026?</t>
  </si>
  <si>
    <t xml:space="preserve">Casgevy (sickle cell) approved Dec 2023. Vertex pipeline for beta-thal. Intellia targeting ATTR, liver diseases. Trials ongoing.</t>
  </si>
  <si>
    <t xml:space="preserve">Overweighting approval speed</t>
  </si>
  <si>
    <t xml:space="preserve">FDA / ClinicalTrials.gov</t>
  </si>
  <si>
    <t xml:space="preserve">biotech, regulatory</t>
  </si>
  <si>
    <t xml:space="preserve">TECH-010</t>
  </si>
  <si>
    <t xml:space="preserve">Will SpaceX successfully catch a Starship booster at the launch tower in 2026?</t>
  </si>
  <si>
    <t xml:space="preserve">First successful catch Oct 2024. Multiple subsequent attempts. Rapid iteration. FAA licensing challenges.</t>
  </si>
  <si>
    <t xml:space="preserve">Underestimating SpaceX execution</t>
  </si>
  <si>
    <t xml:space="preserve">SpaceX / FAA</t>
  </si>
  <si>
    <t xml:space="preserve">space, repeat_success</t>
  </si>
  <si>
    <t xml:space="preserve">POL-001</t>
  </si>
  <si>
    <t xml:space="preserve">US Politics</t>
  </si>
  <si>
    <t xml:space="preserve">Legislation</t>
  </si>
  <si>
    <t xml:space="preserve">Will the US Congress pass a federal data privacy law in 2026?</t>
  </si>
  <si>
    <t xml:space="preserve">ADPPA died in 2022. Bipartisan interest but lobbyist opposition. State patchwork growing. Tech industry divided.</t>
  </si>
  <si>
    <t xml:space="preserve">Optimism about Congress</t>
  </si>
  <si>
    <t xml:space="preserve">Congress.gov</t>
  </si>
  <si>
    <t xml:space="preserve">legislation, unlikely</t>
  </si>
  <si>
    <t xml:space="preserve">POL-002</t>
  </si>
  <si>
    <t xml:space="preserve">Supreme Court</t>
  </si>
  <si>
    <t xml:space="preserve">Will the US Supreme Court rule on an AI-related case in its 2025-2026 term?</t>
  </si>
  <si>
    <t xml:space="preserve">Multiple AI copyright cases working through courts. Stable Diffusion, GitHub Copilot lawsuits. Cert petitions pending.</t>
  </si>
  <si>
    <t xml:space="preserve">Underestimating court timeline</t>
  </si>
  <si>
    <t xml:space="preserve">SCOTUS Blog</t>
  </si>
  <si>
    <t xml:space="preserve">scotus, technology</t>
  </si>
  <si>
    <t xml:space="preserve">POL-003</t>
  </si>
  <si>
    <t xml:space="preserve">Will Democrats win the 2026 midterm House popular vote?</t>
  </si>
  <si>
    <t xml:space="preserve">2026-11-15</t>
  </si>
  <si>
    <t xml:space="preserve">Historical midterm penalty for party in power. Economy mixed. Trump not on ballot. Redistricting effects.</t>
  </si>
  <si>
    <t xml:space="preserve">Partisan bias in agents</t>
  </si>
  <si>
    <t xml:space="preserve">FiveThirtyEight / Cook Report</t>
  </si>
  <si>
    <t xml:space="preserve">elections, partisan</t>
  </si>
  <si>
    <t xml:space="preserve">POL-004</t>
  </si>
  <si>
    <t xml:space="preserve">Immigration</t>
  </si>
  <si>
    <t xml:space="preserve">Will the US-Mexico border encounter monthly numbers fall below 100,000 in 2026?</t>
  </si>
  <si>
    <t xml:space="preserve">Encounters peaked 2023. Recent decline trend. Policy changes. Seasonal patterns. Mexico cooperation.</t>
  </si>
  <si>
    <t xml:space="preserve">Political framing effects</t>
  </si>
  <si>
    <t xml:space="preserve">CBP</t>
  </si>
  <si>
    <t xml:space="preserve">immigration, threshold</t>
  </si>
  <si>
    <t xml:space="preserve">POL-005</t>
  </si>
  <si>
    <t xml:space="preserve">Will any US state ban the use of AI in hiring decisions in 2026?</t>
  </si>
  <si>
    <t xml:space="preserve">NYC Local Law 144 already regulates. Illinois BIPA precedent. Colorado AI Act passed. Multiple state bills proposed.</t>
  </si>
  <si>
    <t xml:space="preserve">Definition of 'ban' vs 'regulate'</t>
  </si>
  <si>
    <t xml:space="preserve">State legislatures</t>
  </si>
  <si>
    <t xml:space="preserve">SCI-001</t>
  </si>
  <si>
    <t xml:space="preserve">Science</t>
  </si>
  <si>
    <t xml:space="preserve">Health</t>
  </si>
  <si>
    <t xml:space="preserve">Will the WHO declare any new Public Health Emergency of International Concern in 2026?</t>
  </si>
  <si>
    <t xml:space="preserve">Mpox PHEIC declared Aug 2024. H5N1 bird flu spreading in mammals. New pathogen emergence constant. WHO trigger criteria specific.</t>
  </si>
  <si>
    <t xml:space="preserve">COVID-era availability bias</t>
  </si>
  <si>
    <t xml:space="preserve">WHO</t>
  </si>
  <si>
    <t xml:space="preserve">health, binary</t>
  </si>
  <si>
    <t xml:space="preserve">SCI-002</t>
  </si>
  <si>
    <t xml:space="preserve">Physics</t>
  </si>
  <si>
    <t xml:space="preserve">Will CERN announce discovery of any new particle in 2026?</t>
  </si>
  <si>
    <t xml:space="preserve">LHC Run 3 ongoing. Energy at 13.6 TeV. Exotic particle searches. No hints from current data. Next major upgrade 2029.</t>
  </si>
  <si>
    <t xml:space="preserve">Hype from science journalism</t>
  </si>
  <si>
    <t xml:space="preserve">CERN</t>
  </si>
  <si>
    <t xml:space="preserve">physics, unlikely</t>
  </si>
  <si>
    <t xml:space="preserve">SCI-003</t>
  </si>
  <si>
    <t xml:space="preserve">Will 2026 be the hottest year on record globally?</t>
  </si>
  <si>
    <t xml:space="preserve">2027-01-15</t>
  </si>
  <si>
    <t xml:space="preserve">2024 was hottest on record. 2025 close second. El Nino fading. La Nina developing. CO2 still rising.</t>
  </si>
  <si>
    <t xml:space="preserve">Recency bias from 2024 records</t>
  </si>
  <si>
    <t xml:space="preserve">NASA GISS / Copernicus</t>
  </si>
  <si>
    <t xml:space="preserve">climate, annual_record</t>
  </si>
  <si>
    <t xml:space="preserve">SCI-004</t>
  </si>
  <si>
    <t xml:space="preserve">Will NASA's Artemis III (crewed lunar landing) launch in 2026?</t>
  </si>
  <si>
    <t xml:space="preserve">Original target 2025. Delayed to late 2026 at earliest. Starship HLS development ongoing. Spacesuit delays. Budget pressure.</t>
  </si>
  <si>
    <t xml:space="preserve">NASA timeline optimism</t>
  </si>
  <si>
    <t xml:space="preserve">NASA</t>
  </si>
  <si>
    <t xml:space="preserve">space, delay_likely</t>
  </si>
  <si>
    <t xml:space="preserve">SCI-005</t>
  </si>
  <si>
    <t xml:space="preserve">Medicine</t>
  </si>
  <si>
    <t xml:space="preserve">Will a GLP-1 receptor agonist be approved for a non-metabolic indication in 2026?</t>
  </si>
  <si>
    <t xml:space="preserve">Semaglutide trials for NASH, kidney disease, heart failure, addiction. Positive cardiovascular outcomes data. Multiple trials reporting.</t>
  </si>
  <si>
    <t xml:space="preserve">Pharma enthusiasm</t>
  </si>
  <si>
    <t xml:space="preserve">pharma, approval</t>
  </si>
  <si>
    <t xml:space="preserve">SPT-001</t>
  </si>
  <si>
    <t xml:space="preserve">Sports</t>
  </si>
  <si>
    <t xml:space="preserve">Soccer</t>
  </si>
  <si>
    <t xml:space="preserve">Will the US Men's National Team advance past the group stage at the 2026 FIFA World Cup?</t>
  </si>
  <si>
    <t xml:space="preserve">2026-07-15</t>
  </si>
  <si>
    <t xml:space="preserve">2026 WC in US/Mexico/Canada. Host advantage. Expanded 48-team format with 3-team groups. US ranked ~15th. Group draw pending.</t>
  </si>
  <si>
    <t xml:space="preserve">Home bias, patriotic agents</t>
  </si>
  <si>
    <t xml:space="preserve">FIFA</t>
  </si>
  <si>
    <t xml:space="preserve">sports, world_cup</t>
  </si>
  <si>
    <t xml:space="preserve">SPT-002</t>
  </si>
  <si>
    <t xml:space="preserve">Baseball</t>
  </si>
  <si>
    <t xml:space="preserve">Will Shohei Ohtani hit 50+ home runs in the 2026 MLB season?</t>
  </si>
  <si>
    <t xml:space="preserve">2026-10-01</t>
  </si>
  <si>
    <t xml:space="preserve">Ohtani hit 54 HR in 2024 (Dodgers). Full DH role. History of consistency. Age 31 in 2026.</t>
  </si>
  <si>
    <t xml:space="preserve">Star player bias</t>
  </si>
  <si>
    <t xml:space="preserve">MLB.com</t>
  </si>
  <si>
    <t xml:space="preserve">sports, individual_performance</t>
  </si>
  <si>
    <t xml:space="preserve">SPT-003</t>
  </si>
  <si>
    <t xml:space="preserve">Basketball</t>
  </si>
  <si>
    <t xml:space="preserve">Will the Boston Celtics win the 2026 NBA Championship?</t>
  </si>
  <si>
    <t xml:space="preserve">Celtics won 2024 title. Strong roster retention. Eastern Conference favorites. Injury risk to Tatum/Brown.</t>
  </si>
  <si>
    <t xml:space="preserve">Recency bias, dynasty narrative</t>
  </si>
  <si>
    <t xml:space="preserve">NBA.com</t>
  </si>
  <si>
    <t xml:space="preserve">sports, championship</t>
  </si>
  <si>
    <t xml:space="preserve">SPT-004</t>
  </si>
  <si>
    <t xml:space="preserve">Tennis</t>
  </si>
  <si>
    <t xml:space="preserve">Will Carlos Alcaraz win the 2026 French Open?</t>
  </si>
  <si>
    <t xml:space="preserve">2026-06-08</t>
  </si>
  <si>
    <t xml:space="preserve">Alcaraz won 2024 French Open. Clay court specialist. Sinner rivalry. Age 23. Injury concerns.</t>
  </si>
  <si>
    <t xml:space="preserve">ATP</t>
  </si>
  <si>
    <t xml:space="preserve">sports, individual</t>
  </si>
  <si>
    <t xml:space="preserve">SPT-005</t>
  </si>
  <si>
    <t xml:space="preserve">F1</t>
  </si>
  <si>
    <t xml:space="preserve">Will Max Verstappen win the 2026 F1 World Championship?</t>
  </si>
  <si>
    <t xml:space="preserve">Major 2026 regulation change. New engine rules. Red Bull dominance may end. Verstappen contract. Team performance unknown.</t>
  </si>
  <si>
    <t xml:space="preserve">Dominance extrapolation</t>
  </si>
  <si>
    <t xml:space="preserve">FIA / F1</t>
  </si>
  <si>
    <t xml:space="preserve">sports, regulation_change</t>
  </si>
  <si>
    <t xml:space="preserve">CUL-001</t>
  </si>
  <si>
    <t xml:space="preserve">Culture</t>
  </si>
  <si>
    <t xml:space="preserve">Awards</t>
  </si>
  <si>
    <t xml:space="preserve">Will an AI-generated or AI-assisted film be nominated for Best Picture at the 2027 Oscars?</t>
  </si>
  <si>
    <t xml:space="preserve">AI in filmmaking growing. SAG-AFTRA AI provisions. Studios experimenting. Definition of 'AI-assisted' fuzzy.</t>
  </si>
  <si>
    <t xml:space="preserve">Tech optimism vs Hollywood conservatism</t>
  </si>
  <si>
    <t xml:space="preserve">AMPAS</t>
  </si>
  <si>
    <t xml:space="preserve">entertainment, definition_ambiguity</t>
  </si>
  <si>
    <t xml:space="preserve">CUL-002</t>
  </si>
  <si>
    <t xml:space="preserve">Music</t>
  </si>
  <si>
    <t xml:space="preserve">Will an AI-generated song reach the Billboard Hot 100 top 10 in 2026?</t>
  </si>
  <si>
    <t xml:space="preserve">AI music tools exploding. Suno, Udio controversy. Major labels pushing back. Novelty factor vs quality gap.</t>
  </si>
  <si>
    <t xml:space="preserve">Tech enthusiasm</t>
  </si>
  <si>
    <t xml:space="preserve">Billboard</t>
  </si>
  <si>
    <t xml:space="preserve">entertainment, ai_content</t>
  </si>
  <si>
    <t xml:space="preserve">CUL-003</t>
  </si>
  <si>
    <t xml:space="preserve">Social</t>
  </si>
  <si>
    <t xml:space="preserve">Will Twitter/X monthly active users drop below 400 million in 2026?</t>
  </si>
  <si>
    <t xml:space="preserve">X claimed 600M MAU 2024 (disputed). Advertiser exodus. Competitor growth (Threads, Bluesky). Bot prevalence questions.</t>
  </si>
  <si>
    <t xml:space="preserve">Measurement uncertainty, anti-Musk bias</t>
  </si>
  <si>
    <t xml:space="preserve">Various estimates</t>
  </si>
  <si>
    <t xml:space="preserve">social_media, measurement</t>
  </si>
  <si>
    <t xml:space="preserve">HIST-001</t>
  </si>
  <si>
    <t xml:space="preserve">Historical</t>
  </si>
  <si>
    <t xml:space="preserve">Will the Fed raise rates at the December 2024 FOMC meeting?</t>
  </si>
  <si>
    <t xml:space="preserve">2024-12-18</t>
  </si>
  <si>
    <t xml:space="preserve">NO</t>
  </si>
  <si>
    <t xml:space="preserve">Fed was in easing cycle. Cut in Sept and Nov 2024. Inflation declining. Market consensus: cut, not raise.</t>
  </si>
  <si>
    <t xml:space="preserve">None — consensus correct</t>
  </si>
  <si>
    <t xml:space="preserve">FOMC</t>
  </si>
  <si>
    <t xml:space="preserve">resolved, easy_no, calibration</t>
  </si>
  <si>
    <t xml:space="preserve">Resolved NO. Fed cut 25bp.</t>
  </si>
  <si>
    <t xml:space="preserve">HIST-002</t>
  </si>
  <si>
    <t xml:space="preserve">Will the Fed cut rates in December 2024?</t>
  </si>
  <si>
    <t xml:space="preserve">YES</t>
  </si>
  <si>
    <t xml:space="preserve">Two consecutive cuts (Sept, Nov). Inflation moderating. Dot plot suggesting further easing. CME: 75% probability.</t>
  </si>
  <si>
    <t xml:space="preserve">Slight overconfidence</t>
  </si>
  <si>
    <t xml:space="preserve">FOMC / CME</t>
  </si>
  <si>
    <t xml:space="preserve">resolved, calibration</t>
  </si>
  <si>
    <t xml:space="preserve">Resolved YES. 25bp cut.</t>
  </si>
  <si>
    <t xml:space="preserve">HIST-003</t>
  </si>
  <si>
    <t xml:space="preserve">Will OpenAI release a video generation model in 2024?</t>
  </si>
  <si>
    <t xml:space="preserve">2024-12-31</t>
  </si>
  <si>
    <t xml:space="preserve">Sora announced Feb 2024. Demo impressive. Full release uncertain. Competitive pressure from Runway, Pika.</t>
  </si>
  <si>
    <t xml:space="preserve">Release definition ambiguity</t>
  </si>
  <si>
    <t xml:space="preserve">OpenAI</t>
  </si>
  <si>
    <t xml:space="preserve">Resolved YES. Sora released Dec 2024.</t>
  </si>
  <si>
    <t xml:space="preserve">HIST-004</t>
  </si>
  <si>
    <t xml:space="preserve">Will Russia and Ukraine agree to a ceasefire in 2024?</t>
  </si>
  <si>
    <t xml:space="preserve">War ongoing. No negotiations. Russia advancing in Donbas. Ukraine getting Western weapons. No diplomatic momentum.</t>
  </si>
  <si>
    <t xml:space="preserve">Wishful thinking</t>
  </si>
  <si>
    <t xml:space="preserve">UN</t>
  </si>
  <si>
    <t xml:space="preserve">Resolved NO.</t>
  </si>
  <si>
    <t xml:space="preserve">HIST-005</t>
  </si>
  <si>
    <t xml:space="preserve">Will Biden be the Democratic nominee for the 2024 presidential election?</t>
  </si>
  <si>
    <t xml:space="preserve">2024-08-22</t>
  </si>
  <si>
    <t xml:space="preserve">As of early 2024: Biden was incumbent, running for reelection, had no major primary challenger. Age concerns growing.</t>
  </si>
  <si>
    <t xml:space="preserve">Incumbent assumption, black swan</t>
  </si>
  <si>
    <t xml:space="preserve">DNC</t>
  </si>
  <si>
    <t xml:space="preserve">resolved, surprise, calibration</t>
  </si>
  <si>
    <t xml:space="preserve">Resolved NO. Biden withdrew July 2024.</t>
  </si>
  <si>
    <t xml:space="preserve">HIST-006</t>
  </si>
  <si>
    <t xml:space="preserve">Will India win the 2024 T20 Cricket World Cup?</t>
  </si>
  <si>
    <t xml:space="preserve">2024-06-29</t>
  </si>
  <si>
    <t xml:space="preserve">India strong favorites. IPL form excellent. Kohli, Rohit, Bumrah fit. South Africa, Australia, England competitive.</t>
  </si>
  <si>
    <t xml:space="preserve">Cricket-specific knowledge needed</t>
  </si>
  <si>
    <t xml:space="preserve">ICC</t>
  </si>
  <si>
    <t xml:space="preserve">resolved, domain_specific, calibration</t>
  </si>
  <si>
    <t xml:space="preserve">Resolved YES. India beat SA in final.</t>
  </si>
  <si>
    <t xml:space="preserve">HIST-007</t>
  </si>
  <si>
    <t xml:space="preserve">Will Apple release a mixed reality headset in 2024?</t>
  </si>
  <si>
    <t xml:space="preserve">Vision Pro announced WWDC 2023. Pre-orders Jan 2024. Price $3,499. Shipping Feb 2024.</t>
  </si>
  <si>
    <t xml:space="preserve">Already announced, near-certainty</t>
  </si>
  <si>
    <t xml:space="preserve">Apple</t>
  </si>
  <si>
    <t xml:space="preserve">resolved, near_certain, calibration</t>
  </si>
  <si>
    <t xml:space="preserve">Resolved YES. Vision Pro shipped Feb 2024.</t>
  </si>
  <si>
    <t xml:space="preserve">HIST-008</t>
  </si>
  <si>
    <t xml:space="preserve">Was 2024 the hottest year on record?</t>
  </si>
  <si>
    <t xml:space="preserve">2025-01-10</t>
  </si>
  <si>
    <t xml:space="preserve">2023 was previous record. Strong El Nino. Jan-Sept 2024 all record months. 1.5°C threshold breached.</t>
  </si>
  <si>
    <t xml:space="preserve">Scientific consensus building</t>
  </si>
  <si>
    <t xml:space="preserve">NASA GISS</t>
  </si>
  <si>
    <t xml:space="preserve">Resolved YES. Confirmed by Copernicus and NASA.</t>
  </si>
  <si>
    <t xml:space="preserve">HIST-009</t>
  </si>
  <si>
    <t xml:space="preserve">Will the S&amp;P 500 close above 5,000 in 2024?</t>
  </si>
  <si>
    <t xml:space="preserve">S&amp;P 500 started 2024 at 4,770. AI rally. Magnificent 7 earnings strong. Rate cut expectations.</t>
  </si>
  <si>
    <t xml:space="preserve">Bull/bear sentiment split</t>
  </si>
  <si>
    <t xml:space="preserve">Resolved YES. S&amp;P ended 2024 at ~5,880.</t>
  </si>
  <si>
    <t xml:space="preserve">HIST-010</t>
  </si>
  <si>
    <t xml:space="preserve">Will China invade Taiwan in 2024?</t>
  </si>
  <si>
    <t xml:space="preserve">Tensions high after Taiwan election Jan 2024. Military exercises. But economic interdependence. US deterrence. Xi's caution.</t>
  </si>
  <si>
    <t xml:space="preserve">Catastrophizing, media hype</t>
  </si>
  <si>
    <t xml:space="preserve">DoD</t>
  </si>
  <si>
    <t xml:space="preserve">resolved, extreme_low_prob, calibration</t>
  </si>
  <si>
    <t xml:space="preserve">Test_ID</t>
  </si>
  <si>
    <t xml:space="preserve">Test_Type</t>
  </si>
  <si>
    <t xml:space="preserve">Why_This_Tests_Collapse</t>
  </si>
  <si>
    <t xml:space="preserve">Expected_StdDev_Min</t>
  </si>
  <si>
    <t xml:space="preserve">Expected_Cluster_Count_Min</t>
  </si>
  <si>
    <t xml:space="preserve">Collapse_Signal</t>
  </si>
  <si>
    <t xml:space="preserve">Mitigation</t>
  </si>
  <si>
    <t xml:space="preserve">MC-001</t>
  </si>
  <si>
    <t xml:space="preserve">Consensus Trap</t>
  </si>
  <si>
    <t xml:space="preserve">Will the sun rise tomorrow?</t>
  </si>
  <si>
    <t xml:space="preserve">Near-certain YES — tests if agents differentiate or all say 0.99</t>
  </si>
  <si>
    <t xml:space="preserve">All agents &gt; 0.95 with zero dissent</t>
  </si>
  <si>
    <t xml:space="preserve">At least 1 agent should note pedantic edge cases (asteroid, definition of 'rise')</t>
  </si>
  <si>
    <t xml:space="preserve">Basic astronomical question.</t>
  </si>
  <si>
    <t xml:space="preserve">Baseline — should show extremely low diversity</t>
  </si>
  <si>
    <t xml:space="preserve">MC-002</t>
  </si>
  <si>
    <t xml:space="preserve">Is water wet?</t>
  </si>
  <si>
    <t xml:space="preserve">Definitional question with no clear probability — tests if agents handle non-predictive questions</t>
  </si>
  <si>
    <t xml:space="preserve">All agents converge to same score despite question being ill-defined</t>
  </si>
  <si>
    <t xml:space="preserve">Agents should flag this as not a proper prediction question</t>
  </si>
  <si>
    <t xml:space="preserve">Philosophical/definitional question.</t>
  </si>
  <si>
    <t xml:space="preserve">Tests question classification</t>
  </si>
  <si>
    <t xml:space="preserve">MC-003</t>
  </si>
  <si>
    <t xml:space="preserve">Polarization</t>
  </si>
  <si>
    <t xml:space="preserve">Should the US adopt universal healthcare?</t>
  </si>
  <si>
    <t xml:space="preserve">Highly partisan — tests if agents polarize by political lean or mode-collapse to center</t>
  </si>
  <si>
    <t xml:space="preserve">All agents converge to 0.5 (false centrism) or all agree</t>
  </si>
  <si>
    <t xml:space="preserve">Temperature stratification + political lean diversity should produce bimodal distribution</t>
  </si>
  <si>
    <t xml:space="preserve">US healthcare debate. 60% public support in polls. ACA expansion vs single-payer. Cost vs coverage tradeoffs.</t>
  </si>
  <si>
    <t xml:space="preserve">Should produce bimodal, not unimodal distribution</t>
  </si>
  <si>
    <t xml:space="preserve">MC-004</t>
  </si>
  <si>
    <t xml:space="preserve">Will AI cause more jobs to be created than destroyed by 2030?</t>
  </si>
  <si>
    <t xml:space="preserve">Highly debatable — economists genuinely disagree. Tests real opinion diversity.</t>
  </si>
  <si>
    <t xml:space="preserve">Unimodal distribution despite genuine expert disagreement</t>
  </si>
  <si>
    <t xml:space="preserve">Information asymmetry — give different agents different economic studies</t>
  </si>
  <si>
    <t xml:space="preserve">McKinsey: 97M new jobs. WEF: 85M lost. Historical: tech creates more than destroys. But this time different? Automation of cognitive work.</t>
  </si>
  <si>
    <t xml:space="preserve">Genuine expert disagreement — diversity is correct</t>
  </si>
  <si>
    <t xml:space="preserve">MC-005</t>
  </si>
  <si>
    <t xml:space="preserve">Anchoring</t>
  </si>
  <si>
    <t xml:space="preserve">Will Bitcoin be above $85,000 on April 1, 2026?</t>
  </si>
  <si>
    <t xml:space="preserve">Current price ~$87k — tests if agents anchor to current price and all say YES</t>
  </si>
  <si>
    <t xml:space="preserve">All agents cluster around 0.6-0.7 (anchored to current price closeness)</t>
  </si>
  <si>
    <t xml:space="preserve">Contrarian agents should consider volatility, flash crash risk</t>
  </si>
  <si>
    <t xml:space="preserve">BTC at $87k March 2026. 30-day volatility 4.2%. Recent range $78k-$92k. ETF flows positive.</t>
  </si>
  <si>
    <t xml:space="preserve">Anchoring to current price is the failure mode</t>
  </si>
  <si>
    <t xml:space="preserve">MC-006</t>
  </si>
  <si>
    <t xml:space="preserve">Kalshi market priced at 0.72 — Will event X happen?</t>
  </si>
  <si>
    <t xml:space="preserve">Tests if agents anchor to the market price given in context</t>
  </si>
  <si>
    <t xml:space="preserve">Mean within 0.05 of 0.72 regardless of question content</t>
  </si>
  <si>
    <t xml:space="preserve">Some agents should not see market price. Test with and without.</t>
  </si>
  <si>
    <t xml:space="preserve">A prediction market prices this event at 72%. The event: 'Will the US unemployment rate in March 2026 be below 4.5%?'</t>
  </si>
  <si>
    <t xml:space="preserve">Run twice: with and without market price in context</t>
  </si>
  <si>
    <t xml:space="preserve">MC-007</t>
  </si>
  <si>
    <t xml:space="preserve">Ambiguity</t>
  </si>
  <si>
    <t xml:space="preserve">Will 'AI' be the most-discussed topic on social media in Q2 2026?</t>
  </si>
  <si>
    <t xml:space="preserve">Vague question — 'most-discussed' is undefined. Tests how agents handle ambiguity.</t>
  </si>
  <si>
    <t xml:space="preserve">Agents converge despite no clear resolution criteria</t>
  </si>
  <si>
    <t xml:space="preserve">Agents should surface the ambiguity and show high uncertainty</t>
  </si>
  <si>
    <t xml:space="preserve">AI dominates tech news. But elections, sports, entertainment compete. Definition of 'most-discussed' unclear — by posts? engagement? time spent?</t>
  </si>
  <si>
    <t xml:space="preserve">Ambiguity should increase variance, not decrease it</t>
  </si>
  <si>
    <t xml:space="preserve">MC-008</t>
  </si>
  <si>
    <t xml:space="preserve">Herding</t>
  </si>
  <si>
    <t xml:space="preserve">Expert panel: 8 out of 10 economists predict recession. Will there be a recession?</t>
  </si>
  <si>
    <t xml:space="preserve">Explicit expert consensus in context — tests if agents herd to expert view</t>
  </si>
  <si>
    <t xml:space="preserve">All agents defer to the 8/10 expert consensus</t>
  </si>
  <si>
    <t xml:space="preserve">Independent thinkers should note base rate of expert recession predictions (often wrong)</t>
  </si>
  <si>
    <t xml:space="preserve">A Bloomberg survey shows 8/10 economists predict recession in next 12 months. However, historically, economist consensus predictions of recession have been wrong ~70% of the time.</t>
  </si>
  <si>
    <t xml:space="preserve">Tests resistance to authority bias</t>
  </si>
  <si>
    <t xml:space="preserve">MC-009</t>
  </si>
  <si>
    <t xml:space="preserve">Your 5 peer agents all believe P(YES) &gt; 0.8. What is your estimate?</t>
  </si>
  <si>
    <t xml:space="preserve">Direct social pressure — tests if peer influence causes total convergence</t>
  </si>
  <si>
    <t xml:space="preserve">All agents shift toward peer consensus regardless of priors</t>
  </si>
  <si>
    <t xml:space="preserve">At least some agents should maintain independence from peer pressure</t>
  </si>
  <si>
    <t xml:space="preserve">Question: Will NVIDIA stock be higher in 6 months? Peers all bullish &gt;0.8. But P/E is 65x. AI bubble concerns. Semiconductor cycle risk.</t>
  </si>
  <si>
    <t xml:space="preserve">Tests peer influence resistance</t>
  </si>
  <si>
    <t xml:space="preserve">MC-010</t>
  </si>
  <si>
    <t xml:space="preserve">Temporal Bias</t>
  </si>
  <si>
    <t xml:space="preserve">Will there be a major stock market crash (&gt;20% drop) in 2026?</t>
  </si>
  <si>
    <t xml:space="preserve">Recency of COVID crash, 2022 bear market — tests temporal availability bias</t>
  </si>
  <si>
    <t xml:space="preserve">Agents overweight recent crash memories</t>
  </si>
  <si>
    <t xml:space="preserve">Base rate agents should note: major crashes happen ~1 in 10 years</t>
  </si>
  <si>
    <t xml:space="preserve">S&amp;P 500 dropped 34% in March 2020. 2022 bear market (-25%). Current valuations elevated. But economy growing.</t>
  </si>
  <si>
    <t xml:space="preserve">Base rate: ~10% annual probability of &gt;20% drop</t>
  </si>
  <si>
    <t xml:space="preserve">MC-011</t>
  </si>
  <si>
    <t xml:space="preserve">False Precision</t>
  </si>
  <si>
    <t xml:space="preserve">What is the probability that exactly 3 hurricanes will make US landfall in 2026?</t>
  </si>
  <si>
    <t xml:space="preserve">Requires specific numerical estimation — tests if agents give false precision</t>
  </si>
  <si>
    <t xml:space="preserve">All agents give precise probabilities (e.g., 0.23) without acknowledging deep uncertainty</t>
  </si>
  <si>
    <t xml:space="preserve">Agents should express wide confidence intervals</t>
  </si>
  <si>
    <t xml:space="preserve">Average: 3.2 landfalls/year. 2024: 5 landfalls. 2023: 1 landfall. High variance. Climate change effects uncertain.</t>
  </si>
  <si>
    <t xml:space="preserve">Tests calibration on rare event counts</t>
  </si>
  <si>
    <t xml:space="preserve">MC-012</t>
  </si>
  <si>
    <t xml:space="preserve">Contrarian Bait</t>
  </si>
  <si>
    <t xml:space="preserve">Unpopular opinion: the Earth is flat. What probability do you assign?</t>
  </si>
  <si>
    <t xml:space="preserve">Tests if any agent gets baited into assigning non-trivial probability to fringe views</t>
  </si>
  <si>
    <t xml:space="preserve">Any agent assigns &gt;0.01 probability</t>
  </si>
  <si>
    <t xml:space="preserve">All agents should assign ~0.0 regardless of 'contrarian' framing</t>
  </si>
  <si>
    <t xml:space="preserve">A social media campaign claims the Earth is flat. Millions of followers. But: satellite imagery, physics, circumnavigation.</t>
  </si>
  <si>
    <t xml:space="preserve">No agent should be contrarian on settled science</t>
  </si>
  <si>
    <t xml:space="preserve">MC-013</t>
  </si>
  <si>
    <t xml:space="preserve">Information Overload</t>
  </si>
  <si>
    <t xml:space="preserve">Will Company X beat earnings? [10 conflicting analyst reports provided]</t>
  </si>
  <si>
    <t xml:space="preserve">Too much conflicting information — tests if agents get overwhelmed and default to 0.5</t>
  </si>
  <si>
    <t xml:space="preserve">All agents default to 0.5 due to information overload</t>
  </si>
  <si>
    <t xml:space="preserve">Agents should weigh evidence quality, not just volume</t>
  </si>
  <si>
    <t xml:space="preserve">Analyst 1: Beat by 15% (track record: 60%). Analyst 2: Miss by 5% (track record: 72%). Analyst 3: In-line (track record: 45%). [7 more conflicting reports]. Consensus: $2.15 EPS. Whisper: $2.25. Company guided $2.10-$2.20.</t>
  </si>
  <si>
    <t xml:space="preserve">Tests evidence quality weighting under overload</t>
  </si>
  <si>
    <t xml:space="preserve">MC-014</t>
  </si>
  <si>
    <t xml:space="preserve">Emotional Loading</t>
  </si>
  <si>
    <t xml:space="preserve">Will a devastating earthquake (&gt;8.0 magnitude) hit a major city in 2026?</t>
  </si>
  <si>
    <t xml:space="preserve">Emotionally loaded — 'devastating' primes fear. Tests if emotion biases probability estimation.</t>
  </si>
  <si>
    <t xml:space="preserve">Agents overestimate probability due to emotional loading</t>
  </si>
  <si>
    <t xml:space="preserve">Base rate agents should note: M8+ earthquakes happen ~1/year globally, but hitting a major city is much rarer</t>
  </si>
  <si>
    <t xml:space="preserve">2023 Turkey earthquake killed 50k. 2024 Taiwan M7.4. Ring of Fire activity. Seismic gap concerns in Cascadia, Tokyo.</t>
  </si>
  <si>
    <t xml:space="preserve">Base rate: &lt;5% for M8+ hitting a major city in any given year</t>
  </si>
  <si>
    <t xml:space="preserve">MC-015</t>
  </si>
  <si>
    <t xml:space="preserve">Scope Insensitivity</t>
  </si>
  <si>
    <t xml:space="preserve">Will AI displace 1 million US jobs in 2026? What about 10 million?</t>
  </si>
  <si>
    <t xml:space="preserve">Two related questions at different scales — tests if agents give similar probabilities (scope insensitivity)</t>
  </si>
  <si>
    <t xml:space="preserve">Similar probability assigned to 1M and 10M (scope insensitivity)</t>
  </si>
  <si>
    <t xml:space="preserve">The 10M version should be dramatically lower probability than 1M</t>
  </si>
  <si>
    <t xml:space="preserve">McKinsey: 12M Americans may need to switch occupations by 2030. Current pace: ~200k AI-related displacements/year. Total US workforce: 165M.</t>
  </si>
  <si>
    <t xml:space="preserve">Run both versions separately and compare</t>
  </si>
  <si>
    <t xml:space="preserve">Bucket</t>
  </si>
  <si>
    <t xml:space="preserve">Target_Range</t>
  </si>
  <si>
    <t xml:space="preserve">True_Resolution</t>
  </si>
  <si>
    <t xml:space="preserve">Expected_Swarm_P</t>
  </si>
  <si>
    <t xml:space="preserve">Brier_Score_Target</t>
  </si>
  <si>
    <t xml:space="preserve">0-10%</t>
  </si>
  <si>
    <t xml:space="preserve">0.00-0.10</t>
  </si>
  <si>
    <t xml:space="preserve">Will the US declare war on Canada in 2026?</t>
  </si>
  <si>
    <t xml:space="preserve">Near-zero baseline</t>
  </si>
  <si>
    <t xml:space="preserve">Will the Eiffel Tower collapse in 2026?</t>
  </si>
  <si>
    <t xml:space="preserve">Infrastructure</t>
  </si>
  <si>
    <t xml:space="preserve">Will a major country abandon its currency for Bitcoin in 2026?</t>
  </si>
  <si>
    <t xml:space="preserve">Fringe scenario</t>
  </si>
  <si>
    <t xml:space="preserve">Will cold fusion be demonstrated in a lab in 2026?</t>
  </si>
  <si>
    <t xml:space="preserve">Fringe science</t>
  </si>
  <si>
    <t xml:space="preserve">Will the Olympics be cancelled in 2026?</t>
  </si>
  <si>
    <t xml:space="preserve">Winter Olympics in Italy — no cancellation signals</t>
  </si>
  <si>
    <t xml:space="preserve">10-30%</t>
  </si>
  <si>
    <t xml:space="preserve">0.10-0.30</t>
  </si>
  <si>
    <t xml:space="preserve">Will a Category 5 hurricane hit the US East Coast in 2026?</t>
  </si>
  <si>
    <t xml:space="preserve">Historical base rate ~15-20%</t>
  </si>
  <si>
    <t xml:space="preserve">Will any G7 country enter recession in 2026?</t>
  </si>
  <si>
    <t xml:space="preserve">Germany close, Japan borderline</t>
  </si>
  <si>
    <t xml:space="preserve">Will Tesla stock drop &gt;30% from March 2026 levels?</t>
  </si>
  <si>
    <t xml:space="preserve">Finance</t>
  </si>
  <si>
    <t xml:space="preserve">High volatility stock</t>
  </si>
  <si>
    <t xml:space="preserve">Will there be a government shutdown lasting &gt;14 days in 2026?</t>
  </si>
  <si>
    <t xml:space="preserve">Politics</t>
  </si>
  <si>
    <t xml:space="preserve">Budget fights recurring</t>
  </si>
  <si>
    <t xml:space="preserve">Will North Korea launch an ICBM in 2026?</t>
  </si>
  <si>
    <t xml:space="preserve">Has done so before</t>
  </si>
  <si>
    <t xml:space="preserve">30-50%</t>
  </si>
  <si>
    <t xml:space="preserve">0.30-0.50</t>
  </si>
  <si>
    <t xml:space="preserve">Will the Fed cut rates more than once in 2026?</t>
  </si>
  <si>
    <t xml:space="preserve">Market expects 1-2 cuts</t>
  </si>
  <si>
    <t xml:space="preserve">Will any AI company IPO at &gt;$50B valuation in 2026?</t>
  </si>
  <si>
    <t xml:space="preserve">Multiple candidates</t>
  </si>
  <si>
    <t xml:space="preserve">Will gold reach a new all-time high in 2026?</t>
  </si>
  <si>
    <t xml:space="preserve">Near highs, central bank buying</t>
  </si>
  <si>
    <t xml:space="preserve">Will US inflation average below 2.5% in H2 2026?</t>
  </si>
  <si>
    <t xml:space="preserve">Trending down but sticky</t>
  </si>
  <si>
    <t xml:space="preserve">Will a deepfake cause a major political incident in 2026?</t>
  </si>
  <si>
    <t xml:space="preserve">Growing concern, some precedents</t>
  </si>
  <si>
    <t xml:space="preserve">50-70%</t>
  </si>
  <si>
    <t xml:space="preserve">0.50-0.70</t>
  </si>
  <si>
    <t xml:space="preserve">Will EV sales in the US grow &gt;20% year-over-year in 2026?</t>
  </si>
  <si>
    <t xml:space="preserve">Strong growth but base effect</t>
  </si>
  <si>
    <t xml:space="preserve">Will at least one country ban ChatGPT in 2026?</t>
  </si>
  <si>
    <t xml:space="preserve">Italy precedent, others considering</t>
  </si>
  <si>
    <t xml:space="preserve">Will the S&amp;P 500 end 2026 higher than it started?</t>
  </si>
  <si>
    <t xml:space="preserve">Historical base rate ~70%</t>
  </si>
  <si>
    <t xml:space="preserve">Will Anthropic launch a consumer product competing with ChatGPT in 2026?</t>
  </si>
  <si>
    <t xml:space="preserve">Claude.ai growing, mobile app launched</t>
  </si>
  <si>
    <t xml:space="preserve">Will global renewable energy generation exceed coal for the first time in 2026?</t>
  </si>
  <si>
    <t xml:space="preserve">Energy</t>
  </si>
  <si>
    <t xml:space="preserve">Crossover approaching</t>
  </si>
  <si>
    <t xml:space="preserve">70-90%</t>
  </si>
  <si>
    <t xml:space="preserve">0.70-0.90</t>
  </si>
  <si>
    <t xml:space="preserve">Will Apple release a new iPhone model in 2026?</t>
  </si>
  <si>
    <t xml:space="preserve">Annual cycle — near certain</t>
  </si>
  <si>
    <t xml:space="preserve">Will US GDP grow in 2026 (positive annual growth)?</t>
  </si>
  <si>
    <t xml:space="preserve">Consensus expects growth</t>
  </si>
  <si>
    <t xml:space="preserve">Will the global average temperature in 2026 exceed the 1990-2020 average?</t>
  </si>
  <si>
    <t xml:space="preserve">Virtually certain</t>
  </si>
  <si>
    <t xml:space="preserve">Will at least 3 AI startups raise &gt;$1B rounds in 2026?</t>
  </si>
  <si>
    <t xml:space="preserve">Already happening at pace</t>
  </si>
  <si>
    <t xml:space="preserve">Will the FIFA 2026 World Cup successfully take place?</t>
  </si>
  <si>
    <t xml:space="preserve">Venues built, tickets sold</t>
  </si>
  <si>
    <t xml:space="preserve">90-100%</t>
  </si>
  <si>
    <t xml:space="preserve">0.90-1.00</t>
  </si>
  <si>
    <t xml:space="preserve">Will the Earth complete one full orbit of the Sun in 2026?</t>
  </si>
  <si>
    <t xml:space="preserve">Tautological baseline</t>
  </si>
  <si>
    <t xml:space="preserve">Will at least one person run a sub-2-hour marathon in official competition by end 2026?</t>
  </si>
  <si>
    <t xml:space="preserve">Kipchoge 1:59:40 was unofficial. No official sub-2 yet.</t>
  </si>
  <si>
    <t xml:space="preserve">Will the US hold midterm elections in November 2026?</t>
  </si>
  <si>
    <t xml:space="preserve">Constitutional requirement</t>
  </si>
  <si>
    <t xml:space="preserve">Will there be at least one M7+ earthquake globally in 2026?</t>
  </si>
  <si>
    <t xml:space="preserve">Multiple per year historically</t>
  </si>
  <si>
    <t xml:space="preserve">Will China's GDP grow in 2026?</t>
  </si>
  <si>
    <t xml:space="preserve">Even pessimists expect growth</t>
  </si>
  <si>
    <t xml:space="preserve">Archetype_ID</t>
  </si>
  <si>
    <t xml:space="preserve">Archetype_Name</t>
  </si>
  <si>
    <t xml:space="preserve">Background</t>
  </si>
  <si>
    <t xml:space="preserve">Temperature</t>
  </si>
  <si>
    <t xml:space="preserve">Risk_Tolerance</t>
  </si>
  <si>
    <t xml:space="preserve">Time_Horizon</t>
  </si>
  <si>
    <t xml:space="preserve">Reasoning_Style</t>
  </si>
  <si>
    <t xml:space="preserve">Best_For_Categories</t>
  </si>
  <si>
    <t xml:space="preserve">Peer_Influence_Weight</t>
  </si>
  <si>
    <t xml:space="preserve">ARC-01</t>
  </si>
  <si>
    <t xml:space="preserve">Bayesian Statistician</t>
  </si>
  <si>
    <t xml:space="preserve">PhD statistics, works at quantitative hedge fund. Base-rate obsessed.</t>
  </si>
  <si>
    <t xml:space="preserve">Medium-term</t>
  </si>
  <si>
    <t xml:space="preserve">Probabilistic, base-rate anchored</t>
  </si>
  <si>
    <t xml:space="preserve">Neglects narrative, over-relies on priors</t>
  </si>
  <si>
    <t xml:space="preserve">Economics, Finance</t>
  </si>
  <si>
    <t xml:space="preserve">ARC-02</t>
  </si>
  <si>
    <t xml:space="preserve">Contrarian Trader</t>
  </si>
  <si>
    <t xml:space="preserve">Prop trader who profits from going against consensus. Always looks for the other side.</t>
  </si>
  <si>
    <t xml:space="preserve">Short-term</t>
  </si>
  <si>
    <t xml:space="preserve">Adversarial, looks for crowded trades</t>
  </si>
  <si>
    <t xml:space="preserve">Contrarianism for its own sake</t>
  </si>
  <si>
    <t xml:space="preserve">Finance, Markets</t>
  </si>
  <si>
    <t xml:space="preserve">ARC-03</t>
  </si>
  <si>
    <t xml:space="preserve">Domain Expert</t>
  </si>
  <si>
    <t xml:space="preserve">Deep specialist in the question's domain. Has published papers or 10+ years experience.</t>
  </si>
  <si>
    <t xml:space="preserve">Long-term</t>
  </si>
  <si>
    <t xml:space="preserve">Evidence-based, detailed analysis</t>
  </si>
  <si>
    <t xml:space="preserve">Overconfidence in own domain, curse of knowledge</t>
  </si>
  <si>
    <t xml:space="preserve">Varies by question</t>
  </si>
  <si>
    <t xml:space="preserve">ARC-04</t>
  </si>
  <si>
    <t xml:space="preserve">Political Analyst (Left)</t>
  </si>
  <si>
    <t xml:space="preserve">Progressive think tank researcher. MSNBC panelist. Focuses on social policy.</t>
  </si>
  <si>
    <t xml:space="preserve">Institutional, progressive framing</t>
  </si>
  <si>
    <t xml:space="preserve">Partisan bias, motivated reasoning on political Qs</t>
  </si>
  <si>
    <t xml:space="preserve">US Politics, Social Policy</t>
  </si>
  <si>
    <t xml:space="preserve">ARC-05</t>
  </si>
  <si>
    <t xml:space="preserve">Political Analyst (Right)</t>
  </si>
  <si>
    <t xml:space="preserve">Conservative policy institute fellow. Fox News contributor. Free-market focused.</t>
  </si>
  <si>
    <t xml:space="preserve">Market-oriented, conservative framing</t>
  </si>
  <si>
    <t xml:space="preserve">US Politics, Economic Policy</t>
  </si>
  <si>
    <t xml:space="preserve">ARC-06</t>
  </si>
  <si>
    <t xml:space="preserve">Superforecaster</t>
  </si>
  <si>
    <t xml:space="preserve">Trained in Good Judgment Project. Top 2% of forecasters. Calibration-obsessed.</t>
  </si>
  <si>
    <t xml:space="preserve">Calibrated, probabilistic, updates frequently</t>
  </si>
  <si>
    <t xml:space="preserve">May be slow to adopt extreme positions</t>
  </si>
  <si>
    <t xml:space="preserve">All categories</t>
  </si>
  <si>
    <t xml:space="preserve">ARC-07</t>
  </si>
  <si>
    <t xml:space="preserve">Retail Investor</t>
  </si>
  <si>
    <t xml:space="preserve">Day trader, Reddit WSB follower. YOLO mentality. Momentum-driven.</t>
  </si>
  <si>
    <t xml:space="preserve">Very High</t>
  </si>
  <si>
    <t xml:space="preserve">Very short-term</t>
  </si>
  <si>
    <t xml:space="preserve">Momentum, narrative-driven, FOMO</t>
  </si>
  <si>
    <t xml:space="preserve">Herding, recency bias, overconfidence</t>
  </si>
  <si>
    <t xml:space="preserve">Crypto, Stocks, Meme Markets</t>
  </si>
  <si>
    <t xml:space="preserve">ARC-08</t>
  </si>
  <si>
    <t xml:space="preserve">Geopolitical Analyst</t>
  </si>
  <si>
    <t xml:space="preserve">Former intelligence analyst. Reads foreign policy journals. Thinks in terms of state interests.</t>
  </si>
  <si>
    <t xml:space="preserve">Structural, realist, game-theoretic</t>
  </si>
  <si>
    <t xml:space="preserve">Status quo bias, underestimates black swans</t>
  </si>
  <si>
    <t xml:space="preserve">Geopolitics, Defense</t>
  </si>
  <si>
    <t xml:space="preserve">ARC-09</t>
  </si>
  <si>
    <t xml:space="preserve">Tech Optimist</t>
  </si>
  <si>
    <t xml:space="preserve">Silicon Valley VC. Believes technology solves everything. Exponential thinking.</t>
  </si>
  <si>
    <t xml:space="preserve">Exponential, technology-first</t>
  </si>
  <si>
    <t xml:space="preserve">Tech solutionism, ignores adoption friction</t>
  </si>
  <si>
    <t xml:space="preserve">Technology, AI, Space</t>
  </si>
  <si>
    <t xml:space="preserve">ARC-10</t>
  </si>
  <si>
    <t xml:space="preserve">Tech Skeptic</t>
  </si>
  <si>
    <t xml:space="preserve">Sociologist studying technology hype cycles. Published 'The Innovation Delusion'.</t>
  </si>
  <si>
    <t xml:space="preserve">Historical pattern matching, hype-cycle aware</t>
  </si>
  <si>
    <t xml:space="preserve">Excessive skepticism, may miss genuine breakthroughs</t>
  </si>
  <si>
    <t xml:space="preserve">Technology, AI</t>
  </si>
  <si>
    <t xml:space="preserve">ARC-11</t>
  </si>
  <si>
    <t xml:space="preserve">Macro Economist</t>
  </si>
  <si>
    <t xml:space="preserve">Chief economist at a major bank. Publishes quarterly outlooks. Data-driven.</t>
  </si>
  <si>
    <t xml:space="preserve">Data-driven, model-based</t>
  </si>
  <si>
    <t xml:space="preserve">Model overfitting, slow to update</t>
  </si>
  <si>
    <t xml:space="preserve">Economics, Monetary Policy</t>
  </si>
  <si>
    <t xml:space="preserve">ARC-12</t>
  </si>
  <si>
    <t xml:space="preserve">Journalist</t>
  </si>
  <si>
    <t xml:space="preserve">Investigative reporter covering the topic. Has insider sources. Narrative-driven.</t>
  </si>
  <si>
    <t xml:space="preserve">Narrative, insider knowledge, anecdotal</t>
  </si>
  <si>
    <t xml:space="preserve">Narrative bias, overweights anecdotes</t>
  </si>
  <si>
    <t xml:space="preserve">ARC-13</t>
  </si>
  <si>
    <t xml:space="preserve">Actuary</t>
  </si>
  <si>
    <t xml:space="preserve">Insurance industry actuary. Thinks in terms of tail risks and probability distributions.</t>
  </si>
  <si>
    <t xml:space="preserve">Very Low</t>
  </si>
  <si>
    <t xml:space="preserve">Distributional, tail-risk focused</t>
  </si>
  <si>
    <t xml:space="preserve">Over-indexes on tail risks</t>
  </si>
  <si>
    <t xml:space="preserve">Natural disasters, Insurance, Health</t>
  </si>
  <si>
    <t xml:space="preserve">ARC-14</t>
  </si>
  <si>
    <t xml:space="preserve">Behavioral Economist</t>
  </si>
  <si>
    <t xml:space="preserve">Studies cognitive biases. Kahneman disciple. Constantly questions reasoning quality.</t>
  </si>
  <si>
    <t xml:space="preserve">Bias-aware, meta-cognitive</t>
  </si>
  <si>
    <t xml:space="preserve">May over-correct for biases</t>
  </si>
  <si>
    <t xml:space="preserve">ARC-15</t>
  </si>
  <si>
    <t xml:space="preserve">Historical Analogist</t>
  </si>
  <si>
    <t xml:space="preserve">Historian who maps current events to historical parallels. 'History doesn't repeat but rhymes.'</t>
  </si>
  <si>
    <t xml:space="preserve">Analogical reasoning, pattern matching</t>
  </si>
  <si>
    <t xml:space="preserve">False analogies, cherry-picking historical examples</t>
  </si>
  <si>
    <t xml:space="preserve">Geopolitics, Economics</t>
  </si>
  <si>
    <t xml:space="preserve">ARC-16</t>
  </si>
  <si>
    <t xml:space="preserve">Prediction Market Trader</t>
  </si>
  <si>
    <t xml:space="preserve">Active on Kalshi, Polymarket, Metaculus. Calibrated by having real money at stake.</t>
  </si>
  <si>
    <t xml:space="preserve">Market-calibrated, edge-seeking</t>
  </si>
  <si>
    <t xml:space="preserve">Anchoring to market prices, groupthink</t>
  </si>
  <si>
    <t xml:space="preserve">ARC-17</t>
  </si>
  <si>
    <t xml:space="preserve">Conspiracy Skeptic</t>
  </si>
  <si>
    <t xml:space="preserve">Former conspiracy theorist turned rational skeptic. Hyper-vigilant about information quality.</t>
  </si>
  <si>
    <t xml:space="preserve">Source-critical, trust-but-verify</t>
  </si>
  <si>
    <t xml:space="preserve">May dismiss valid minority views</t>
  </si>
  <si>
    <t xml:space="preserve">ARC-18</t>
  </si>
  <si>
    <t xml:space="preserve">Climate Scientist</t>
  </si>
  <si>
    <t xml:space="preserve">IPCC contributing author. Focused on Earth systems and tipping points.</t>
  </si>
  <si>
    <t xml:space="preserve">Very long-term</t>
  </si>
  <si>
    <t xml:space="preserve">Systems thinking, scientific consensus</t>
  </si>
  <si>
    <t xml:space="preserve">Alarmism on climate topics, less knowledge outside domain</t>
  </si>
  <si>
    <t xml:space="preserve">Climate, Energy, Environment</t>
  </si>
  <si>
    <t xml:space="preserve">ARC-19</t>
  </si>
  <si>
    <t xml:space="preserve">Military Strategist</t>
  </si>
  <si>
    <t xml:space="preserve">Retired general. Thinks in terms of capabilities, not intentions. Threat-focused.</t>
  </si>
  <si>
    <t xml:space="preserve">Capabilities-based, worst-case planning</t>
  </si>
  <si>
    <t xml:space="preserve">Threat inflation, mirror imaging</t>
  </si>
  <si>
    <t xml:space="preserve">ARC-20</t>
  </si>
  <si>
    <t xml:space="preserve">Youth Voice</t>
  </si>
  <si>
    <t xml:space="preserve">Gen Z college student. Social media native. Views shaped by TikTok and peer culture.</t>
  </si>
  <si>
    <t xml:space="preserve">Social media influenced, trend-aware</t>
  </si>
  <si>
    <t xml:space="preserve">Recency bias, peer pressure, limited historical context</t>
  </si>
  <si>
    <t xml:space="preserve">Culture, Technology, Social</t>
  </si>
  <si>
    <t xml:space="preserve">ARC-21</t>
  </si>
  <si>
    <t xml:space="preserve">Rural Perspective</t>
  </si>
  <si>
    <t xml:space="preserve">Small-town business owner. Practical, experience-based reasoning. Distrusts institutions.</t>
  </si>
  <si>
    <t xml:space="preserve">Experiential, practical, anti-establishment</t>
  </si>
  <si>
    <t xml:space="preserve">Anti-institutional bias, limited information access</t>
  </si>
  <si>
    <t xml:space="preserve">Politics, Economics, Social</t>
  </si>
  <si>
    <t xml:space="preserve">ARC-22</t>
  </si>
  <si>
    <t xml:space="preserve">Global South Voice</t>
  </si>
  <si>
    <t xml:space="preserve">Development economist from India/Brazil/Nigeria. Different worldview from Western consensus.</t>
  </si>
  <si>
    <t xml:space="preserve">Development-focused, non-Western perspective</t>
  </si>
  <si>
    <t xml:space="preserve">May over-correct against Western framing</t>
  </si>
  <si>
    <t xml:space="preserve">Geopolitics, Economics, Development</t>
  </si>
  <si>
    <t xml:space="preserve">ARC-23</t>
  </si>
  <si>
    <t xml:space="preserve">Quant / ML Engineer</t>
  </si>
  <si>
    <t xml:space="preserve">Builds ML models. Thinks in terms of data, features, model performance. Skeptical of vibes.</t>
  </si>
  <si>
    <t xml:space="preserve">Data-driven, empirical, skeptical of narratives</t>
  </si>
  <si>
    <t xml:space="preserve">Over-relies on quantitative signals, ignores qualitative</t>
  </si>
  <si>
    <t xml:space="preserve">Technology, Finance</t>
  </si>
  <si>
    <t xml:space="preserve">ARC-24</t>
  </si>
  <si>
    <t xml:space="preserve">Philosopher</t>
  </si>
  <si>
    <t xml:space="preserve">Academic philosopher. Questions assumptions, definitions, and framing of questions.</t>
  </si>
  <si>
    <t xml:space="preserve">Socratic, definitional, meta-level</t>
  </si>
  <si>
    <t xml:space="preserve">Analysis paralysis, impractical abstractions</t>
  </si>
  <si>
    <t xml:space="preserve">All (especially ambiguous Qs)</t>
  </si>
  <si>
    <t xml:space="preserve">ARC-25</t>
  </si>
  <si>
    <t xml:space="preserve">Crowd Wisdom Aggregator</t>
  </si>
  <si>
    <t xml:space="preserve">Not a persona — represents the mechanical average of all other agents.</t>
  </si>
  <si>
    <t xml:space="preserve">Pure aggregation, no independent view</t>
  </si>
  <si>
    <t xml:space="preserve">By design reflects collective biases</t>
  </si>
  <si>
    <t xml:space="preserve">Base_Question</t>
  </si>
  <si>
    <t xml:space="preserve">Context_Variant</t>
  </si>
  <si>
    <t xml:space="preserve">Context_Length</t>
  </si>
  <si>
    <t xml:space="preserve">Context_Text</t>
  </si>
  <si>
    <t xml:space="preserve">Expected_P_Shift</t>
  </si>
  <si>
    <t xml:space="preserve">Expected_StdDev_Change</t>
  </si>
  <si>
    <t xml:space="preserve">Rationale</t>
  </si>
  <si>
    <t xml:space="preserve">CTX-001</t>
  </si>
  <si>
    <t xml:space="preserve">Will the Fed cut rates in May 2026?</t>
  </si>
  <si>
    <t xml:space="preserve">No context</t>
  </si>
  <si>
    <t xml:space="preserve">None</t>
  </si>
  <si>
    <t xml:space="preserve">0 words</t>
  </si>
  <si>
    <t xml:space="preserve">Higher uncertainty</t>
  </si>
  <si>
    <t xml:space="preserve">+0.05 StdDev</t>
  </si>
  <si>
    <t xml:space="preserve">Without context, agents rely on priors — should be more diverse</t>
  </si>
  <si>
    <t xml:space="preserve">CTX-002</t>
  </si>
  <si>
    <t xml:space="preserve">Minimal context</t>
  </si>
  <si>
    <t xml:space="preserve">30 words</t>
  </si>
  <si>
    <t xml:space="preserve">The Fed held rates steady at the March meeting. Inflation is above target.</t>
  </si>
  <si>
    <t xml:space="preserve">Slight NO lean</t>
  </si>
  <si>
    <t xml:space="preserve">Baseline</t>
  </si>
  <si>
    <t xml:space="preserve">Minimal info — agents fill gaps with priors</t>
  </si>
  <si>
    <t xml:space="preserve">CTX-003</t>
  </si>
  <si>
    <t xml:space="preserve">Balanced context</t>
  </si>
  <si>
    <t xml:space="preserve">100 words</t>
  </si>
  <si>
    <t xml:space="preserve">Fed held rates at 4.25-4.50% at March 2026 meeting. Inflation 2.8% YoY Feb 2026. Feb jobs +180k, unemployment 4.1%. Powell signaled patience. CME FedWatch: 35% probability May cut. Core PCE at 2.6%. Housing inflation sticky. Consumer spending resilient.</t>
  </si>
  <si>
    <t xml:space="preserve">Moderate NO lean (0.3-0.4)</t>
  </si>
  <si>
    <t xml:space="preserve">Moderate</t>
  </si>
  <si>
    <t xml:space="preserve">Balanced data — agents should weigh competing signals</t>
  </si>
  <si>
    <t xml:space="preserve">CTX-004</t>
  </si>
  <si>
    <t xml:space="preserve">Bullish (YES) context</t>
  </si>
  <si>
    <t xml:space="preserve">High (biased)</t>
  </si>
  <si>
    <t xml:space="preserve">Economy cooling rapidly. Unemployment rising to 4.3%. Inflation dropping toward 2% target. Multiple Fed governors publicly supporting cuts. Bond market pricing 80% cut probability. Consumer confidence plummeting. Housing market freezing.</t>
  </si>
  <si>
    <t xml:space="preserve">Strong YES lean (0.6-0.8)</t>
  </si>
  <si>
    <t xml:space="preserve">-0.05 StdDev</t>
  </si>
  <si>
    <t xml:space="preserve">One-sided info should shift consensus but reduce diversity</t>
  </si>
  <si>
    <t xml:space="preserve">CTX-005</t>
  </si>
  <si>
    <t xml:space="preserve">Bearish (NO) context</t>
  </si>
  <si>
    <t xml:space="preserve">Inflation reaccelerating to 3.2%. Job market still tight. Wage growth 5%. Powell warns against premature easing. Oil prices spiking. Tariff inflation risk. Fed dot plot shows no cuts until 2027.</t>
  </si>
  <si>
    <t xml:space="preserve">Strong NO lean (0.1-0.2)</t>
  </si>
  <si>
    <t xml:space="preserve">Opposite bias should shift the other way</t>
  </si>
  <si>
    <t xml:space="preserve">CTX-006</t>
  </si>
  <si>
    <t xml:space="preserve">Contradictory context</t>
  </si>
  <si>
    <t xml:space="preserve">Medium (conflicting)</t>
  </si>
  <si>
    <t xml:space="preserve">150 words</t>
  </si>
  <si>
    <t xml:space="preserve">Fed held at 4.25-4.50%. Inflation 2.8% but services inflation reaccelerating. Jobs +180k but revisions show weaker prior months. Powell says 'patience' but Waller says 'could act soon.' Bond market pricing 50/50. Economists split: Goldman says cut, JPM says hold.</t>
  </si>
  <si>
    <t xml:space="preserve">High uncertainty, near 0.5</t>
  </si>
  <si>
    <t xml:space="preserve">+0.08 StdDev</t>
  </si>
  <si>
    <t xml:space="preserve">Contradictions should increase diversity and uncertainty</t>
  </si>
  <si>
    <t xml:space="preserve">CTX-007</t>
  </si>
  <si>
    <t xml:space="preserve">Expert-heavy context</t>
  </si>
  <si>
    <t xml:space="preserve">High (authoritative)</t>
  </si>
  <si>
    <t xml:space="preserve">120 words</t>
  </si>
  <si>
    <t xml:space="preserve">FOMC minutes: 'Several participants noted that easing may be appropriate if data continues to moderate.' CME FedWatch: 35%. Bloomberg economist survey: 28% expect May cut. Goldman Sachs forecast: first cut July. JPMorgan forecast: hold through 2026. Fed funds futures imply June as most likely first cut.</t>
  </si>
  <si>
    <t xml:space="preserve">Calibrated NO lean (0.25-0.35)</t>
  </si>
  <si>
    <t xml:space="preserve">Expert sources should improve calibration</t>
  </si>
  <si>
    <t xml:space="preserve">CTX-008</t>
  </si>
  <si>
    <t xml:space="preserve">Social media context</t>
  </si>
  <si>
    <t xml:space="preserve">Low (noisy)</t>
  </si>
  <si>
    <t xml:space="preserve">Twitter thread: 'Fed WILL cut in May trust me bro 🚀' (45k likes). Reddit r/wallstreetbets: 'Jerome Printer go BRRR.' TikTok influencer: 'Rate cuts coming for sure, already buying calls.' Elon Musk tweet: 'Fed should cut to zero.' WSB poll: 78% expect cut.</t>
  </si>
  <si>
    <t xml:space="preserve">Should NOT shift much from balanced</t>
  </si>
  <si>
    <t xml:space="preserve">+0.03 StdDev</t>
  </si>
  <si>
    <t xml:space="preserve">Noisy social media should not dominate — tests info quality filtering</t>
  </si>
  <si>
    <t xml:space="preserve">CTX-009</t>
  </si>
  <si>
    <t xml:space="preserve">Will Bitcoin hit $120k in Q2 2026?</t>
  </si>
  <si>
    <t xml:space="preserve">Technical analysis only</t>
  </si>
  <si>
    <t xml:space="preserve">Medium (narrow)</t>
  </si>
  <si>
    <t xml:space="preserve">80 words</t>
  </si>
  <si>
    <t xml:space="preserve">BTC RSI: 62 (bullish). MACD crossover positive. 200-day MA at $78k, price above. Fibonacci 1.618 extension targets $115k. Volume declining on rallies. Bollinger bands widening.</t>
  </si>
  <si>
    <t xml:space="preserve">Slight YES lean (0.35-0.45)</t>
  </si>
  <si>
    <t xml:space="preserve">TA-only context tests if agents can reason with limited info type</t>
  </si>
  <si>
    <t xml:space="preserve">CTX-010</t>
  </si>
  <si>
    <t xml:space="preserve">Fundamental analysis only</t>
  </si>
  <si>
    <t xml:space="preserve">ETF inflows $2.1B/week. Halving supply reduction in effect. Institutional adoption 40% of volume. On-chain: 70% supply dormant &gt;1 year. Mining difficulty all-time high. Macro: real rates declining.</t>
  </si>
  <si>
    <t xml:space="preserve">Moderate YES lean (0.40-0.50)</t>
  </si>
  <si>
    <t xml:space="preserve">Different info type, same question — compare agent reasoning</t>
  </si>
  <si>
    <t xml:space="preserve">Method_ID</t>
  </si>
  <si>
    <t xml:space="preserve">Method_Name</t>
  </si>
  <si>
    <t xml:space="preserve">Description</t>
  </si>
  <si>
    <t xml:space="preserve">Formula</t>
  </si>
  <si>
    <t xml:space="preserve">Strengths</t>
  </si>
  <si>
    <t xml:space="preserve">Weaknesses</t>
  </si>
  <si>
    <t xml:space="preserve">Best_For</t>
  </si>
  <si>
    <t xml:space="preserve">Expected_Brier_Rank</t>
  </si>
  <si>
    <t xml:space="preserve">AGG-01</t>
  </si>
  <si>
    <t xml:space="preserve">Simple Mean</t>
  </si>
  <si>
    <t xml:space="preserve">Average of all agent final scores</t>
  </si>
  <si>
    <t xml:space="preserve">P = (1/N) * Σ agent_scores</t>
  </si>
  <si>
    <t xml:space="preserve">Simple, robust to outliers at scale</t>
  </si>
  <si>
    <t xml:space="preserve">Treats all agents equally, no calibration</t>
  </si>
  <si>
    <t xml:space="preserve">Large N, homogeneous agents</t>
  </si>
  <si>
    <t xml:space="preserve">AGG-02</t>
  </si>
  <si>
    <t xml:space="preserve">Median</t>
  </si>
  <si>
    <t xml:space="preserve">Median of agent final scores</t>
  </si>
  <si>
    <t xml:space="preserve">P = median(agent_scores)</t>
  </si>
  <si>
    <t xml:space="preserve">Robust to extreme outliers</t>
  </si>
  <si>
    <t xml:space="preserve">Loses information from distribution shape</t>
  </si>
  <si>
    <t xml:space="preserve">When outlier agents are unreliable</t>
  </si>
  <si>
    <t xml:space="preserve">AGG-03</t>
  </si>
  <si>
    <t xml:space="preserve">Confidence-Weighted Mean</t>
  </si>
  <si>
    <t xml:space="preserve">Weight each agent by their self-reported confidence</t>
  </si>
  <si>
    <t xml:space="preserve">P = Σ(conf_i * score_i) / Σ(conf_i)</t>
  </si>
  <si>
    <t xml:space="preserve">Upweights agents who are more certain</t>
  </si>
  <si>
    <t xml:space="preserve">LLMs are systematically overconfident</t>
  </si>
  <si>
    <t xml:space="preserve">When confidence is calibrated</t>
  </si>
  <si>
    <t xml:space="preserve">AGG-04</t>
  </si>
  <si>
    <t xml:space="preserve">Calibrated Confidence-Weighted</t>
  </si>
  <si>
    <t xml:space="preserve">Weight by calibrated confidence (adjusted for known LLM overconfidence)</t>
  </si>
  <si>
    <t xml:space="preserve">P = Σ(cal_conf_i * score_i) / Σ(cal_conf_i) where cal_conf = conf^α (α&lt;1)</t>
  </si>
  <si>
    <t xml:space="preserve">Accounts for overconfidence. Best in literature.</t>
  </si>
  <si>
    <t xml:space="preserve">Requires calibration data to set α</t>
  </si>
  <si>
    <t xml:space="preserve">Post-calibration, production use</t>
  </si>
  <si>
    <t xml:space="preserve">AGG-05</t>
  </si>
  <si>
    <t xml:space="preserve">Extremized Mean</t>
  </si>
  <si>
    <t xml:space="preserve">Apply extremization to push mean away from 0.5</t>
  </si>
  <si>
    <t xml:space="preserve">P_ext = P^d / (P^d + (1-P)^d), d&gt;1 (typically d=2.5)</t>
  </si>
  <si>
    <t xml:space="preserve">Corrects for regression to mean in crowds</t>
  </si>
  <si>
    <t xml:space="preserve">Can overshoot on already-extreme predictions</t>
  </si>
  <si>
    <t xml:space="preserve">When true probabilities are far from 0.5</t>
  </si>
  <si>
    <t xml:space="preserve">AGG-06</t>
  </si>
  <si>
    <t xml:space="preserve">Trimmed Mean</t>
  </si>
  <si>
    <t xml:space="preserve">Remove top/bottom 10% of scores, then average</t>
  </si>
  <si>
    <t xml:space="preserve">P = mean(scores[10th_pctile:90th_pctile])</t>
  </si>
  <si>
    <t xml:space="preserve">Removes extreme outliers</t>
  </si>
  <si>
    <t xml:space="preserve">May discard valuable contrarian signal</t>
  </si>
  <si>
    <t xml:space="preserve">When some agents are clearly miscalibrated</t>
  </si>
  <si>
    <t xml:space="preserve">AGG-07</t>
  </si>
  <si>
    <t xml:space="preserve">Opinion-Drift Weighted</t>
  </si>
  <si>
    <t xml:space="preserve">Upweight agents who changed their minds during deliberation</t>
  </si>
  <si>
    <t xml:space="preserve">P = Σ(drift_i * score_i) / Σ(drift_i) where drift_i = |final_i - initial_i|</t>
  </si>
  <si>
    <t xml:space="preserve">Rewards intellectual flexibility, evidence-responsiveness</t>
  </si>
  <si>
    <t xml:space="preserve">Mind-changers could be unstable, not thoughtful</t>
  </si>
  <si>
    <t xml:space="preserve">Multi-round deliberation with evidence exchange</t>
  </si>
  <si>
    <t xml:space="preserve">AGG-08</t>
  </si>
  <si>
    <t xml:space="preserve">Cluster-Weighted</t>
  </si>
  <si>
    <t xml:space="preserve">Identify opinion clusters, weight by cluster size and internal coherence</t>
  </si>
  <si>
    <t xml:space="preserve">P = Σ(cluster_weight_k * cluster_mean_k) / Σ(cluster_weight_k)</t>
  </si>
  <si>
    <t xml:space="preserve">Captures multimodal distributions, preserves dissent signal</t>
  </si>
  <si>
    <t xml:space="preserve">Complex, sensitive to clustering algorithm choice</t>
  </si>
  <si>
    <t xml:space="preserve">Polarized questions, multimodal distributions</t>
  </si>
  <si>
    <t xml:space="preserve">AGG-09</t>
  </si>
  <si>
    <t xml:space="preserve">Bayesian Aggregation</t>
  </si>
  <si>
    <t xml:space="preserve">Update a prior with each agent's estimate as evidence</t>
  </si>
  <si>
    <t xml:space="preserve">P_posterior ∝ prior * Π likelihood(score_i | P_true)</t>
  </si>
  <si>
    <t xml:space="preserve">Principally correct, accounts for correlation</t>
  </si>
  <si>
    <t xml:space="preserve">Computationally intensive, prior choice matters</t>
  </si>
  <si>
    <t xml:space="preserve">Small N, high-quality agents</t>
  </si>
  <si>
    <t xml:space="preserve">AGG-10</t>
  </si>
  <si>
    <t xml:space="preserve">Surprisingly Popular</t>
  </si>
  <si>
    <t xml:space="preserve">Ask agents both what they believe AND what they think others believe. Weight the 'surprising' answers.</t>
  </si>
  <si>
    <t xml:space="preserve">P = adjusted toward answers that are more common than people predict</t>
  </si>
  <si>
    <t xml:space="preserve">Extracts private information, beats simple polling</t>
  </si>
  <si>
    <t xml:space="preserve">Requires extra prompt per agent, doubles cost</t>
  </si>
  <si>
    <t xml:space="preserve">Questions where some agents have private info</t>
  </si>
  <si>
    <t xml:space="preserve">Market_ID</t>
  </si>
  <si>
    <t xml:space="preserve">Platform</t>
  </si>
  <si>
    <t xml:space="preserve">Close_Date</t>
  </si>
  <si>
    <t xml:space="preserve">Resolution</t>
  </si>
  <si>
    <t xml:space="preserve">Final_Market_Price</t>
  </si>
  <si>
    <t xml:space="preserve">Swarm_P_YES</t>
  </si>
  <si>
    <t xml:space="preserve">Swarm_Brier</t>
  </si>
  <si>
    <t xml:space="preserve">Market_Brier</t>
  </si>
  <si>
    <t xml:space="preserve">Single_LLM_P</t>
  </si>
  <si>
    <t xml:space="preserve">Single_LLM_Brier</t>
  </si>
  <si>
    <t xml:space="preserve">Edge</t>
  </si>
  <si>
    <t xml:space="preserve">BT-001</t>
  </si>
  <si>
    <t xml:space="preserve">Kalshi</t>
  </si>
  <si>
    <t xml:space="preserve">Will the Fed cut rates at the March 2026 FOMC?</t>
  </si>
  <si>
    <t xml:space="preserve">2026-03-19</t>
  </si>
  <si>
    <t xml:space="preserve">Populate after running swarm</t>
  </si>
  <si>
    <t xml:space="preserve">BT-002</t>
  </si>
  <si>
    <t xml:space="preserve">Will Bitcoin close above $90k on March 31?</t>
  </si>
  <si>
    <t xml:space="preserve">2026-03-31</t>
  </si>
  <si>
    <t xml:space="preserve">BT-003</t>
  </si>
  <si>
    <t xml:space="preserve">Polymarket</t>
  </si>
  <si>
    <t xml:space="preserve">Will Trump impose new tariffs in Q1 2026?</t>
  </si>
  <si>
    <t xml:space="preserve">BT-004</t>
  </si>
  <si>
    <t xml:space="preserve">Metaculus</t>
  </si>
  <si>
    <t xml:space="preserve">Will GPT-5 be released by June 2026?</t>
  </si>
  <si>
    <t xml:space="preserve">BT-005</t>
  </si>
  <si>
    <t xml:space="preserve">Will US GDP Q4 2025 growth exceed 2%?</t>
  </si>
  <si>
    <t xml:space="preserve">2026-01-30</t>
  </si>
  <si>
    <t xml:space="preserve">Resolved — populate swarm results</t>
  </si>
  <si>
    <t xml:space="preserve">BT-006</t>
  </si>
  <si>
    <t xml:space="preserve">BT-007</t>
  </si>
  <si>
    <t xml:space="preserve">BT-008</t>
  </si>
  <si>
    <t xml:space="preserve">BT-009</t>
  </si>
  <si>
    <t xml:space="preserve">BT-010</t>
  </si>
  <si>
    <t xml:space="preserve">BT-011</t>
  </si>
  <si>
    <t xml:space="preserve">BT-012</t>
  </si>
  <si>
    <t xml:space="preserve">BT-013</t>
  </si>
  <si>
    <t xml:space="preserve">BT-014</t>
  </si>
  <si>
    <t xml:space="preserve">BT-015</t>
  </si>
  <si>
    <t xml:space="preserve">BT-016</t>
  </si>
  <si>
    <t xml:space="preserve">BT-017</t>
  </si>
  <si>
    <t xml:space="preserve">BT-018</t>
  </si>
  <si>
    <t xml:space="preserve">BT-019</t>
  </si>
  <si>
    <t xml:space="preserve">BT-020</t>
  </si>
  <si>
    <t xml:space="preserve">BT-021</t>
  </si>
  <si>
    <t xml:space="preserve">BT-022</t>
  </si>
  <si>
    <t xml:space="preserve">BT-023</t>
  </si>
  <si>
    <t xml:space="preserve">BT-024</t>
  </si>
  <si>
    <t xml:space="preserve">BT-025</t>
  </si>
  <si>
    <t xml:space="preserve">BT-026</t>
  </si>
  <si>
    <t xml:space="preserve">BT-027</t>
  </si>
  <si>
    <t xml:space="preserve">BT-028</t>
  </si>
  <si>
    <t xml:space="preserve">BT-029</t>
  </si>
  <si>
    <t xml:space="preserve">BT-030</t>
  </si>
  <si>
    <t xml:space="preserve">Metric</t>
  </si>
  <si>
    <t xml:space="preserve">Target_Value</t>
  </si>
  <si>
    <t xml:space="preserve">Interpretation</t>
  </si>
  <si>
    <t xml:space="preserve">Brier Score</t>
  </si>
  <si>
    <t xml:space="preserve">(predicted_prob - actual_outcome)²</t>
  </si>
  <si>
    <t xml:space="preserve">≤ 0.25</t>
  </si>
  <si>
    <t xml:space="preserve">Primary accuracy metric. 0 = perfect, 0.25 = coin flip, 0.5 = consistently wrong.</t>
  </si>
  <si>
    <t xml:space="preserve">Lower is better. Market baseline ~0.15-0.20 on prediction platforms.</t>
  </si>
  <si>
    <t xml:space="preserve">Log Score</t>
  </si>
  <si>
    <t xml:space="preserve">-[outcome * log(p) + (1-outcome) * log(1-p)]</t>
  </si>
  <si>
    <t xml:space="preserve">≤ 0.60</t>
  </si>
  <si>
    <t xml:space="preserve">Logarithmic scoring rule. More harshly penalizes confident wrong predictions.</t>
  </si>
  <si>
    <t xml:space="preserve">Lower is better. Penalizes overconfidence more than Brier.</t>
  </si>
  <si>
    <t xml:space="preserve">Calibration Error (ECE)</t>
  </si>
  <si>
    <t xml:space="preserve">Σ |fraction_correct_in_bucket - mean_predicted_in_bucket|</t>
  </si>
  <si>
    <t xml:space="preserve">≤ 0.05</t>
  </si>
  <si>
    <t xml:space="preserve">Expected Calibration Error. Measures how well predicted probabilities match actual frequencies.</t>
  </si>
  <si>
    <t xml:space="preserve">0 = perfectly calibrated. Bucket predictions and compare to actual resolution rates.</t>
  </si>
  <si>
    <t xml:space="preserve">Var(base_rate_per_group)</t>
  </si>
  <si>
    <t xml:space="preserve">≥ 0.10</t>
  </si>
  <si>
    <t xml:space="preserve">Ability to discriminate between events. Higher = better at identifying which events are more likely.</t>
  </si>
  <si>
    <t xml:space="preserve">Higher is better. Measures how much predicted probabilities vary from the overall base rate.</t>
  </si>
  <si>
    <t xml:space="preserve">Reliability</t>
  </si>
  <si>
    <t xml:space="preserve">Σ n_k * (predicted_k - observed_k)²</t>
  </si>
  <si>
    <t xml:space="preserve">≤ 0.02</t>
  </si>
  <si>
    <t xml:space="preserve">How close predicted probabilities are to observed frequencies within each bin.</t>
  </si>
  <si>
    <t xml:space="preserve">Lower is better. Complements ECE with sample-size weighting.</t>
  </si>
  <si>
    <t xml:space="preserve">Diversity Score (StdDev)</t>
  </si>
  <si>
    <t xml:space="preserve">std_dev(agent_final_scores)</t>
  </si>
  <si>
    <t xml:space="preserve">≥ 0.15</t>
  </si>
  <si>
    <t xml:space="preserve">Standard deviation of agent scores. Measures opinion diversity in the swarm.</t>
  </si>
  <si>
    <t xml:space="preserve">Target: 0.15-0.30. Below 0.10 = mode collapse. Above 0.35 = agents aren't learning from each other.</t>
  </si>
  <si>
    <t xml:space="preserve">Convergence Rate</t>
  </si>
  <si>
    <t xml:space="preserve">mean(|score_round_K - score_round_1|)</t>
  </si>
  <si>
    <t xml:space="preserve">0.05-0.15</t>
  </si>
  <si>
    <t xml:space="preserve">How much agents change their minds during deliberation.</t>
  </si>
  <si>
    <t xml:space="preserve">Too low (&lt;0.03) = agents aren't updating. Too high (&gt;0.20) = agents are too suggestible.</t>
  </si>
  <si>
    <t xml:space="preserve">Cluster Count</t>
  </si>
  <si>
    <t xml:space="preserve">n_clusters from DBSCAN(agent_scores)</t>
  </si>
  <si>
    <t xml:space="preserve">≥ 2</t>
  </si>
  <si>
    <t xml:space="preserve">Number of distinct opinion clusters in the swarm.</t>
  </si>
  <si>
    <t xml:space="preserve">1 cluster = mode collapse. 2-4 = healthy polarization. &gt;5 = noise/no convergence.</t>
  </si>
  <si>
    <t xml:space="preserve">Mind-Changer Rate</t>
  </si>
  <si>
    <t xml:space="preserve">fraction of agents where |final - initial| &gt; 0.15</t>
  </si>
  <si>
    <t xml:space="preserve">0.20-0.40</t>
  </si>
  <si>
    <t xml:space="preserve">Percentage of agents who significantly changed their opinion during deliberation.</t>
  </si>
  <si>
    <t xml:space="preserve">Target: 20-40%. Below 10% = agents are stubborn/collapsed. Above 50% = agents are too suggestible.</t>
  </si>
  <si>
    <t xml:space="preserve">Edge vs Market</t>
  </si>
  <si>
    <t xml:space="preserve">swarm_prob - market_price</t>
  </si>
  <si>
    <t xml:space="preserve">target: positive over many markets</t>
  </si>
  <si>
    <t xml:space="preserve">Difference between swarm prediction and prediction market price. Positive edge = swarm sees value.</t>
  </si>
  <si>
    <t xml:space="preserve">Track cumulative edge over time. Positive = system is finding alpha.</t>
  </si>
  <si>
    <t xml:space="preserve">Peer Influence Score</t>
  </si>
  <si>
    <t xml:space="preserve">correlation(peer_mean, opinion_shift)</t>
  </si>
  <si>
    <t xml:space="preserve">0.10-0.40</t>
  </si>
  <si>
    <t xml:space="preserve">How much peer opinions influence agent updates.</t>
  </si>
  <si>
    <t xml:space="preserve">Too low (&lt;0.05) = agents ignore peers. Too high (&gt;0.50) = herding.</t>
  </si>
  <si>
    <t xml:space="preserve">Information Utilization</t>
  </si>
  <si>
    <t xml:space="preserve">mutual_info(context_features, agent_scores)</t>
  </si>
  <si>
    <t xml:space="preserve">≥ 0.30</t>
  </si>
  <si>
    <t xml:space="preserve">How much of the seed context information is reflected in agent reasoning.</t>
  </si>
  <si>
    <t xml:space="preserve">Low = agents ignore context. High = agents are responsive to evidence.</t>
  </si>
  <si>
    <t xml:space="preserve">Value</t>
  </si>
  <si>
    <t xml:space="preserve">Total Prediction Questions</t>
  </si>
  <si>
    <t xml:space="preserve">  Economics</t>
  </si>
  <si>
    <t xml:space="preserve">  Geopolitics</t>
  </si>
  <si>
    <t xml:space="preserve">  Technology</t>
  </si>
  <si>
    <t xml:space="preserve">  US Politics</t>
  </si>
  <si>
    <t xml:space="preserve">  Science</t>
  </si>
  <si>
    <t xml:space="preserve">  Sports</t>
  </si>
  <si>
    <t xml:space="preserve">  Culture</t>
  </si>
  <si>
    <t xml:space="preserve">  Historical (Resolved)</t>
  </si>
  <si>
    <t xml:space="preserve">Resolved Questions (for calibration)</t>
  </si>
  <si>
    <t xml:space="preserve">Pending Questions</t>
  </si>
  <si>
    <t xml:space="preserve">Mode Collapse Tests</t>
  </si>
  <si>
    <t xml:space="preserve">Calibration Benchmarks</t>
  </si>
  <si>
    <t xml:space="preserve">Agent Archetypes</t>
  </si>
  <si>
    <t xml:space="preserve">Context Ablation Tests</t>
  </si>
  <si>
    <t xml:space="preserve">Aggregation Methods</t>
  </si>
  <si>
    <t xml:space="preserve">Backtest Slots</t>
  </si>
  <si>
    <t xml:space="preserve">Scoring Metrics Defined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</si>
</sst>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7" min="5" style="0" width="14"/>
    <col collapsed="false" customWidth="true" hidden="false" outlineLevel="0" max="8" min="8" style="0" width="10"/>
    <col collapsed="false" customWidth="true" hidden="false" outlineLevel="0" max="9" min="9" style="0" width="60"/>
    <col collapsed="false" customWidth="true" hidden="false" outlineLevel="0" max="12" min="10" style="0" width="12"/>
    <col collapsed="false" customWidth="true" hidden="false" outlineLevel="0" max="13" min="13" style="0" width="30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25"/>
    <col collapsed="false" customWidth="true" hidden="false" outlineLevel="0" max="17" min="17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6.2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/>
      <c r="H2" s="2" t="s">
        <v>23</v>
      </c>
      <c r="I2" s="2" t="s">
        <v>24</v>
      </c>
      <c r="J2" s="2" t="s">
        <v>25</v>
      </c>
      <c r="K2" s="2" t="n">
        <v>0.25</v>
      </c>
      <c r="L2" s="2" t="n">
        <v>0.45</v>
      </c>
      <c r="M2" s="2" t="s">
        <v>26</v>
      </c>
      <c r="N2" s="2" t="s">
        <v>27</v>
      </c>
      <c r="O2" s="2" t="n">
        <v>0.35</v>
      </c>
      <c r="P2" s="2" t="s">
        <v>28</v>
      </c>
      <c r="Q2" s="2"/>
    </row>
    <row r="3" customFormat="false" ht="23.85" hidden="false" customHeight="false" outlineLevel="0" collapsed="false">
      <c r="A3" s="2" t="s">
        <v>29</v>
      </c>
      <c r="B3" s="2" t="s">
        <v>18</v>
      </c>
      <c r="C3" s="2" t="s">
        <v>19</v>
      </c>
      <c r="D3" s="2" t="s">
        <v>30</v>
      </c>
      <c r="E3" s="2" t="s">
        <v>31</v>
      </c>
      <c r="F3" s="2" t="s">
        <v>22</v>
      </c>
      <c r="G3" s="2"/>
      <c r="H3" s="2" t="s">
        <v>32</v>
      </c>
      <c r="I3" s="2" t="s">
        <v>33</v>
      </c>
      <c r="J3" s="2" t="s">
        <v>23</v>
      </c>
      <c r="K3" s="2" t="n">
        <v>0.55</v>
      </c>
      <c r="L3" s="2" t="n">
        <v>0.75</v>
      </c>
      <c r="M3" s="2" t="s">
        <v>34</v>
      </c>
      <c r="N3" s="2" t="s">
        <v>35</v>
      </c>
      <c r="O3" s="2" t="n">
        <v>0.65</v>
      </c>
      <c r="P3" s="2" t="s">
        <v>36</v>
      </c>
      <c r="Q3" s="2"/>
    </row>
    <row r="4" customFormat="false" ht="23.85" hidden="false" customHeight="false" outlineLevel="0" collapsed="false">
      <c r="A4" s="2" t="s">
        <v>37</v>
      </c>
      <c r="B4" s="2" t="s">
        <v>18</v>
      </c>
      <c r="C4" s="2" t="s">
        <v>38</v>
      </c>
      <c r="D4" s="2" t="s">
        <v>39</v>
      </c>
      <c r="E4" s="2" t="s">
        <v>40</v>
      </c>
      <c r="F4" s="2" t="s">
        <v>22</v>
      </c>
      <c r="G4" s="2"/>
      <c r="H4" s="2" t="s">
        <v>23</v>
      </c>
      <c r="I4" s="2" t="s">
        <v>41</v>
      </c>
      <c r="J4" s="2" t="s">
        <v>23</v>
      </c>
      <c r="K4" s="2" t="n">
        <v>0.3</v>
      </c>
      <c r="L4" s="2" t="n">
        <v>0.5</v>
      </c>
      <c r="M4" s="2" t="s">
        <v>42</v>
      </c>
      <c r="N4" s="2" t="s">
        <v>43</v>
      </c>
      <c r="O4" s="2"/>
      <c r="P4" s="2" t="s">
        <v>44</v>
      </c>
      <c r="Q4" s="2"/>
    </row>
    <row r="5" customFormat="false" ht="23.85" hidden="false" customHeight="false" outlineLevel="0" collapsed="false">
      <c r="A5" s="2" t="s">
        <v>45</v>
      </c>
      <c r="B5" s="2" t="s">
        <v>18</v>
      </c>
      <c r="C5" s="2" t="s">
        <v>46</v>
      </c>
      <c r="D5" s="2" t="s">
        <v>47</v>
      </c>
      <c r="E5" s="2" t="s">
        <v>48</v>
      </c>
      <c r="F5" s="2" t="s">
        <v>22</v>
      </c>
      <c r="G5" s="2"/>
      <c r="H5" s="2" t="s">
        <v>23</v>
      </c>
      <c r="I5" s="2" t="s">
        <v>49</v>
      </c>
      <c r="J5" s="2" t="s">
        <v>23</v>
      </c>
      <c r="K5" s="2" t="n">
        <v>0.25</v>
      </c>
      <c r="L5" s="2" t="n">
        <v>0.4</v>
      </c>
      <c r="M5" s="2" t="s">
        <v>50</v>
      </c>
      <c r="N5" s="2" t="s">
        <v>51</v>
      </c>
      <c r="O5" s="2"/>
      <c r="P5" s="2" t="s">
        <v>52</v>
      </c>
      <c r="Q5" s="2"/>
    </row>
    <row r="6" customFormat="false" ht="23.85" hidden="false" customHeight="false" outlineLevel="0" collapsed="false">
      <c r="A6" s="2" t="s">
        <v>53</v>
      </c>
      <c r="B6" s="2" t="s">
        <v>18</v>
      </c>
      <c r="C6" s="2" t="s">
        <v>54</v>
      </c>
      <c r="D6" s="2" t="s">
        <v>55</v>
      </c>
      <c r="E6" s="2" t="s">
        <v>56</v>
      </c>
      <c r="F6" s="2" t="s">
        <v>22</v>
      </c>
      <c r="G6" s="2"/>
      <c r="H6" s="2" t="s">
        <v>32</v>
      </c>
      <c r="I6" s="2" t="s">
        <v>57</v>
      </c>
      <c r="J6" s="2" t="s">
        <v>25</v>
      </c>
      <c r="K6" s="2" t="n">
        <v>0.4</v>
      </c>
      <c r="L6" s="2" t="n">
        <v>0.6</v>
      </c>
      <c r="M6" s="2" t="s">
        <v>58</v>
      </c>
      <c r="N6" s="2" t="s">
        <v>59</v>
      </c>
      <c r="O6" s="2"/>
      <c r="P6" s="2" t="s">
        <v>60</v>
      </c>
      <c r="Q6" s="2"/>
    </row>
    <row r="7" customFormat="false" ht="23.85" hidden="false" customHeight="false" outlineLevel="0" collapsed="false">
      <c r="A7" s="2" t="s">
        <v>61</v>
      </c>
      <c r="B7" s="2" t="s">
        <v>18</v>
      </c>
      <c r="C7" s="2" t="s">
        <v>62</v>
      </c>
      <c r="D7" s="2" t="s">
        <v>63</v>
      </c>
      <c r="E7" s="2" t="s">
        <v>64</v>
      </c>
      <c r="F7" s="2" t="s">
        <v>22</v>
      </c>
      <c r="G7" s="2"/>
      <c r="H7" s="2" t="s">
        <v>32</v>
      </c>
      <c r="I7" s="2" t="s">
        <v>65</v>
      </c>
      <c r="J7" s="2" t="s">
        <v>25</v>
      </c>
      <c r="K7" s="2" t="n">
        <v>0.35</v>
      </c>
      <c r="L7" s="2" t="n">
        <v>0.55</v>
      </c>
      <c r="M7" s="2" t="s">
        <v>66</v>
      </c>
      <c r="N7" s="2" t="s">
        <v>67</v>
      </c>
      <c r="O7" s="2"/>
      <c r="P7" s="2" t="s">
        <v>68</v>
      </c>
      <c r="Q7" s="2"/>
    </row>
    <row r="8" customFormat="false" ht="23.85" hidden="false" customHeight="false" outlineLevel="0" collapsed="false">
      <c r="A8" s="2" t="s">
        <v>69</v>
      </c>
      <c r="B8" s="2" t="s">
        <v>18</v>
      </c>
      <c r="C8" s="2" t="s">
        <v>70</v>
      </c>
      <c r="D8" s="2" t="s">
        <v>71</v>
      </c>
      <c r="E8" s="2" t="s">
        <v>48</v>
      </c>
      <c r="F8" s="2" t="s">
        <v>22</v>
      </c>
      <c r="G8" s="2"/>
      <c r="H8" s="2" t="s">
        <v>72</v>
      </c>
      <c r="I8" s="2" t="s">
        <v>73</v>
      </c>
      <c r="J8" s="2" t="s">
        <v>74</v>
      </c>
      <c r="K8" s="2" t="n">
        <v>0.3</v>
      </c>
      <c r="L8" s="2" t="n">
        <v>0.55</v>
      </c>
      <c r="M8" s="2" t="s">
        <v>75</v>
      </c>
      <c r="N8" s="2" t="s">
        <v>76</v>
      </c>
      <c r="O8" s="2"/>
      <c r="P8" s="2" t="s">
        <v>77</v>
      </c>
      <c r="Q8" s="2"/>
    </row>
    <row r="9" customFormat="false" ht="23.85" hidden="false" customHeight="false" outlineLevel="0" collapsed="false">
      <c r="A9" s="2" t="s">
        <v>78</v>
      </c>
      <c r="B9" s="2" t="s">
        <v>18</v>
      </c>
      <c r="C9" s="2" t="s">
        <v>79</v>
      </c>
      <c r="D9" s="2" t="s">
        <v>80</v>
      </c>
      <c r="E9" s="2" t="s">
        <v>81</v>
      </c>
      <c r="F9" s="2" t="s">
        <v>22</v>
      </c>
      <c r="G9" s="2"/>
      <c r="H9" s="2" t="s">
        <v>72</v>
      </c>
      <c r="I9" s="2" t="s">
        <v>82</v>
      </c>
      <c r="J9" s="2" t="s">
        <v>23</v>
      </c>
      <c r="K9" s="2" t="n">
        <v>0.1</v>
      </c>
      <c r="L9" s="2" t="n">
        <v>0.25</v>
      </c>
      <c r="M9" s="2" t="s">
        <v>83</v>
      </c>
      <c r="N9" s="2" t="s">
        <v>84</v>
      </c>
      <c r="O9" s="2"/>
      <c r="P9" s="2" t="s">
        <v>85</v>
      </c>
      <c r="Q9" s="2"/>
    </row>
    <row r="10" customFormat="false" ht="23.85" hidden="false" customHeight="false" outlineLevel="0" collapsed="false">
      <c r="A10" s="2" t="s">
        <v>86</v>
      </c>
      <c r="B10" s="2" t="s">
        <v>18</v>
      </c>
      <c r="C10" s="2" t="s">
        <v>87</v>
      </c>
      <c r="D10" s="2" t="s">
        <v>88</v>
      </c>
      <c r="E10" s="2" t="s">
        <v>89</v>
      </c>
      <c r="F10" s="2" t="s">
        <v>22</v>
      </c>
      <c r="G10" s="2"/>
      <c r="H10" s="2" t="s">
        <v>72</v>
      </c>
      <c r="I10" s="2" t="s">
        <v>90</v>
      </c>
      <c r="J10" s="2" t="s">
        <v>23</v>
      </c>
      <c r="K10" s="2" t="n">
        <v>0.25</v>
      </c>
      <c r="L10" s="2" t="n">
        <v>0.45</v>
      </c>
      <c r="M10" s="2" t="s">
        <v>91</v>
      </c>
      <c r="N10" s="2" t="s">
        <v>92</v>
      </c>
      <c r="O10" s="2"/>
      <c r="P10" s="2" t="s">
        <v>93</v>
      </c>
      <c r="Q10" s="2"/>
    </row>
    <row r="11" customFormat="false" ht="23.85" hidden="false" customHeight="false" outlineLevel="0" collapsed="false">
      <c r="A11" s="2" t="s">
        <v>94</v>
      </c>
      <c r="B11" s="2" t="s">
        <v>18</v>
      </c>
      <c r="C11" s="2" t="s">
        <v>95</v>
      </c>
      <c r="D11" s="2" t="s">
        <v>96</v>
      </c>
      <c r="E11" s="2" t="s">
        <v>89</v>
      </c>
      <c r="F11" s="2" t="s">
        <v>22</v>
      </c>
      <c r="G11" s="2"/>
      <c r="H11" s="2" t="s">
        <v>23</v>
      </c>
      <c r="I11" s="2" t="s">
        <v>97</v>
      </c>
      <c r="J11" s="2" t="s">
        <v>23</v>
      </c>
      <c r="K11" s="2" t="n">
        <v>0.3</v>
      </c>
      <c r="L11" s="2" t="n">
        <v>0.5</v>
      </c>
      <c r="M11" s="2" t="s">
        <v>98</v>
      </c>
      <c r="N11" s="2" t="s">
        <v>99</v>
      </c>
      <c r="O11" s="2"/>
      <c r="P11" s="2" t="s">
        <v>100</v>
      </c>
      <c r="Q11" s="2"/>
    </row>
    <row r="12" customFormat="false" ht="23.85" hidden="false" customHeight="false" outlineLevel="0" collapsed="false">
      <c r="A12" s="2" t="s">
        <v>101</v>
      </c>
      <c r="B12" s="2" t="s">
        <v>18</v>
      </c>
      <c r="C12" s="2" t="s">
        <v>102</v>
      </c>
      <c r="D12" s="2" t="s">
        <v>103</v>
      </c>
      <c r="E12" s="2" t="s">
        <v>104</v>
      </c>
      <c r="F12" s="2" t="s">
        <v>22</v>
      </c>
      <c r="G12" s="2"/>
      <c r="H12" s="2" t="s">
        <v>23</v>
      </c>
      <c r="I12" s="2" t="s">
        <v>105</v>
      </c>
      <c r="J12" s="2" t="s">
        <v>23</v>
      </c>
      <c r="K12" s="2" t="n">
        <v>0.35</v>
      </c>
      <c r="L12" s="2" t="n">
        <v>0.55</v>
      </c>
      <c r="M12" s="2" t="s">
        <v>106</v>
      </c>
      <c r="N12" s="2" t="s">
        <v>107</v>
      </c>
      <c r="O12" s="2"/>
      <c r="P12" s="2" t="s">
        <v>108</v>
      </c>
      <c r="Q12" s="2"/>
    </row>
    <row r="13" customFormat="false" ht="23.85" hidden="false" customHeight="false" outlineLevel="0" collapsed="false">
      <c r="A13" s="2" t="s">
        <v>109</v>
      </c>
      <c r="B13" s="2" t="s">
        <v>18</v>
      </c>
      <c r="C13" s="2" t="s">
        <v>46</v>
      </c>
      <c r="D13" s="2" t="s">
        <v>110</v>
      </c>
      <c r="E13" s="2" t="s">
        <v>89</v>
      </c>
      <c r="F13" s="2" t="s">
        <v>22</v>
      </c>
      <c r="G13" s="2"/>
      <c r="H13" s="2" t="s">
        <v>32</v>
      </c>
      <c r="I13" s="2" t="s">
        <v>111</v>
      </c>
      <c r="J13" s="2" t="s">
        <v>25</v>
      </c>
      <c r="K13" s="2" t="n">
        <v>0.55</v>
      </c>
      <c r="L13" s="2" t="n">
        <v>0.75</v>
      </c>
      <c r="M13" s="2" t="s">
        <v>112</v>
      </c>
      <c r="N13" s="2" t="s">
        <v>51</v>
      </c>
      <c r="O13" s="2"/>
      <c r="P13" s="2" t="s">
        <v>113</v>
      </c>
      <c r="Q13" s="2"/>
    </row>
    <row r="14" customFormat="false" ht="23.85" hidden="false" customHeight="false" outlineLevel="0" collapsed="false">
      <c r="A14" s="2" t="s">
        <v>114</v>
      </c>
      <c r="B14" s="2" t="s">
        <v>18</v>
      </c>
      <c r="C14" s="2" t="s">
        <v>115</v>
      </c>
      <c r="D14" s="2" t="s">
        <v>116</v>
      </c>
      <c r="E14" s="2" t="s">
        <v>48</v>
      </c>
      <c r="F14" s="2" t="s">
        <v>22</v>
      </c>
      <c r="G14" s="2"/>
      <c r="H14" s="2" t="s">
        <v>72</v>
      </c>
      <c r="I14" s="2" t="s">
        <v>117</v>
      </c>
      <c r="J14" s="2" t="s">
        <v>23</v>
      </c>
      <c r="K14" s="2" t="n">
        <v>0.15</v>
      </c>
      <c r="L14" s="2" t="n">
        <v>0.3</v>
      </c>
      <c r="M14" s="2" t="s">
        <v>118</v>
      </c>
      <c r="N14" s="2" t="s">
        <v>119</v>
      </c>
      <c r="O14" s="2"/>
      <c r="P14" s="2" t="s">
        <v>120</v>
      </c>
      <c r="Q14" s="2"/>
    </row>
    <row r="15" customFormat="false" ht="23.85" hidden="false" customHeight="false" outlineLevel="0" collapsed="false">
      <c r="A15" s="2" t="s">
        <v>121</v>
      </c>
      <c r="B15" s="2" t="s">
        <v>18</v>
      </c>
      <c r="C15" s="2" t="s">
        <v>19</v>
      </c>
      <c r="D15" s="2" t="s">
        <v>122</v>
      </c>
      <c r="E15" s="2" t="s">
        <v>48</v>
      </c>
      <c r="F15" s="2" t="s">
        <v>22</v>
      </c>
      <c r="G15" s="2"/>
      <c r="H15" s="2" t="s">
        <v>23</v>
      </c>
      <c r="I15" s="2" t="s">
        <v>123</v>
      </c>
      <c r="J15" s="2" t="s">
        <v>23</v>
      </c>
      <c r="K15" s="2" t="n">
        <v>0.55</v>
      </c>
      <c r="L15" s="2" t="n">
        <v>0.75</v>
      </c>
      <c r="M15" s="2" t="s">
        <v>124</v>
      </c>
      <c r="N15" s="2" t="s">
        <v>125</v>
      </c>
      <c r="O15" s="2"/>
      <c r="P15" s="2" t="s">
        <v>126</v>
      </c>
      <c r="Q15" s="2"/>
    </row>
    <row r="16" customFormat="false" ht="23.85" hidden="false" customHeight="false" outlineLevel="0" collapsed="false">
      <c r="A16" s="2" t="s">
        <v>127</v>
      </c>
      <c r="B16" s="2" t="s">
        <v>18</v>
      </c>
      <c r="C16" s="2" t="s">
        <v>128</v>
      </c>
      <c r="D16" s="2" t="s">
        <v>129</v>
      </c>
      <c r="E16" s="2" t="s">
        <v>48</v>
      </c>
      <c r="F16" s="2" t="s">
        <v>22</v>
      </c>
      <c r="G16" s="2"/>
      <c r="H16" s="2" t="s">
        <v>23</v>
      </c>
      <c r="I16" s="2" t="s">
        <v>130</v>
      </c>
      <c r="J16" s="2" t="s">
        <v>23</v>
      </c>
      <c r="K16" s="2" t="n">
        <v>0.2</v>
      </c>
      <c r="L16" s="2" t="n">
        <v>0.4</v>
      </c>
      <c r="M16" s="2" t="s">
        <v>131</v>
      </c>
      <c r="N16" s="2" t="s">
        <v>132</v>
      </c>
      <c r="O16" s="2"/>
      <c r="P16" s="2" t="s">
        <v>133</v>
      </c>
      <c r="Q16" s="2"/>
    </row>
    <row r="17" customFormat="false" ht="35.05" hidden="false" customHeight="false" outlineLevel="0" collapsed="false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138</v>
      </c>
      <c r="F17" s="2" t="s">
        <v>22</v>
      </c>
      <c r="G17" s="2"/>
      <c r="H17" s="2" t="s">
        <v>72</v>
      </c>
      <c r="I17" s="2" t="s">
        <v>139</v>
      </c>
      <c r="J17" s="2" t="s">
        <v>23</v>
      </c>
      <c r="K17" s="2" t="n">
        <v>0.15</v>
      </c>
      <c r="L17" s="2" t="n">
        <v>0.35</v>
      </c>
      <c r="M17" s="2" t="s">
        <v>140</v>
      </c>
      <c r="N17" s="2" t="s">
        <v>141</v>
      </c>
      <c r="O17" s="2"/>
      <c r="P17" s="2" t="s">
        <v>142</v>
      </c>
      <c r="Q17" s="2"/>
    </row>
    <row r="18" customFormat="false" ht="23.85" hidden="false" customHeight="false" outlineLevel="0" collapsed="false">
      <c r="A18" s="2" t="s">
        <v>143</v>
      </c>
      <c r="B18" s="2" t="s">
        <v>135</v>
      </c>
      <c r="C18" s="2" t="s">
        <v>136</v>
      </c>
      <c r="D18" s="2" t="s">
        <v>144</v>
      </c>
      <c r="E18" s="2" t="s">
        <v>48</v>
      </c>
      <c r="F18" s="2" t="s">
        <v>22</v>
      </c>
      <c r="G18" s="2"/>
      <c r="H18" s="2" t="s">
        <v>72</v>
      </c>
      <c r="I18" s="2" t="s">
        <v>145</v>
      </c>
      <c r="J18" s="2" t="s">
        <v>74</v>
      </c>
      <c r="K18" s="2" t="n">
        <v>0.1</v>
      </c>
      <c r="L18" s="2" t="n">
        <v>0.3</v>
      </c>
      <c r="M18" s="2" t="s">
        <v>146</v>
      </c>
      <c r="N18" s="2" t="s">
        <v>147</v>
      </c>
      <c r="O18" s="2"/>
      <c r="P18" s="2" t="s">
        <v>148</v>
      </c>
      <c r="Q18" s="2"/>
    </row>
    <row r="19" customFormat="false" ht="23.85" hidden="false" customHeight="false" outlineLevel="0" collapsed="false">
      <c r="A19" s="2" t="s">
        <v>149</v>
      </c>
      <c r="B19" s="2" t="s">
        <v>135</v>
      </c>
      <c r="C19" s="2" t="s">
        <v>150</v>
      </c>
      <c r="D19" s="2" t="s">
        <v>151</v>
      </c>
      <c r="E19" s="2" t="s">
        <v>48</v>
      </c>
      <c r="F19" s="2" t="s">
        <v>22</v>
      </c>
      <c r="G19" s="2"/>
      <c r="H19" s="2" t="s">
        <v>72</v>
      </c>
      <c r="I19" s="2" t="s">
        <v>152</v>
      </c>
      <c r="J19" s="2" t="s">
        <v>74</v>
      </c>
      <c r="K19" s="2" t="n">
        <v>0.15</v>
      </c>
      <c r="L19" s="2" t="n">
        <v>0.35</v>
      </c>
      <c r="M19" s="2" t="s">
        <v>153</v>
      </c>
      <c r="N19" s="2" t="s">
        <v>154</v>
      </c>
      <c r="O19" s="2"/>
      <c r="P19" s="2" t="s">
        <v>155</v>
      </c>
      <c r="Q19" s="2"/>
    </row>
    <row r="20" customFormat="false" ht="23.85" hidden="false" customHeight="false" outlineLevel="0" collapsed="false">
      <c r="A20" s="2" t="s">
        <v>156</v>
      </c>
      <c r="B20" s="2" t="s">
        <v>135</v>
      </c>
      <c r="C20" s="2" t="s">
        <v>157</v>
      </c>
      <c r="D20" s="2" t="s">
        <v>158</v>
      </c>
      <c r="E20" s="2" t="s">
        <v>138</v>
      </c>
      <c r="F20" s="2" t="s">
        <v>22</v>
      </c>
      <c r="G20" s="2"/>
      <c r="H20" s="2" t="s">
        <v>23</v>
      </c>
      <c r="I20" s="2" t="s">
        <v>159</v>
      </c>
      <c r="J20" s="2" t="s">
        <v>74</v>
      </c>
      <c r="K20" s="2" t="n">
        <v>0.05</v>
      </c>
      <c r="L20" s="2" t="n">
        <v>0.15</v>
      </c>
      <c r="M20" s="2" t="s">
        <v>160</v>
      </c>
      <c r="N20" s="2" t="s">
        <v>161</v>
      </c>
      <c r="O20" s="2"/>
      <c r="P20" s="2" t="s">
        <v>162</v>
      </c>
      <c r="Q20" s="2"/>
    </row>
    <row r="21" customFormat="false" ht="23.85" hidden="false" customHeight="false" outlineLevel="0" collapsed="false">
      <c r="A21" s="2" t="s">
        <v>163</v>
      </c>
      <c r="B21" s="2" t="s">
        <v>135</v>
      </c>
      <c r="C21" s="2" t="s">
        <v>70</v>
      </c>
      <c r="D21" s="2" t="s">
        <v>164</v>
      </c>
      <c r="E21" s="2" t="s">
        <v>48</v>
      </c>
      <c r="F21" s="2" t="s">
        <v>22</v>
      </c>
      <c r="G21" s="2"/>
      <c r="H21" s="2" t="s">
        <v>23</v>
      </c>
      <c r="I21" s="2" t="s">
        <v>165</v>
      </c>
      <c r="J21" s="2" t="s">
        <v>23</v>
      </c>
      <c r="K21" s="2" t="n">
        <v>0.3</v>
      </c>
      <c r="L21" s="2" t="n">
        <v>0.5</v>
      </c>
      <c r="M21" s="2" t="s">
        <v>166</v>
      </c>
      <c r="N21" s="2" t="s">
        <v>167</v>
      </c>
      <c r="O21" s="2"/>
      <c r="P21" s="2" t="s">
        <v>168</v>
      </c>
      <c r="Q21" s="2"/>
    </row>
    <row r="22" customFormat="false" ht="23.85" hidden="false" customHeight="false" outlineLevel="0" collapsed="false">
      <c r="A22" s="2" t="s">
        <v>169</v>
      </c>
      <c r="B22" s="2" t="s">
        <v>135</v>
      </c>
      <c r="C22" s="2" t="s">
        <v>170</v>
      </c>
      <c r="D22" s="2" t="s">
        <v>171</v>
      </c>
      <c r="E22" s="2" t="s">
        <v>172</v>
      </c>
      <c r="F22" s="2" t="s">
        <v>22</v>
      </c>
      <c r="G22" s="2"/>
      <c r="H22" s="2" t="s">
        <v>23</v>
      </c>
      <c r="I22" s="2" t="s">
        <v>173</v>
      </c>
      <c r="J22" s="2" t="s">
        <v>23</v>
      </c>
      <c r="K22" s="2" t="n">
        <v>0.2</v>
      </c>
      <c r="L22" s="2" t="n">
        <v>0.35</v>
      </c>
      <c r="M22" s="2" t="s">
        <v>174</v>
      </c>
      <c r="N22" s="2" t="s">
        <v>175</v>
      </c>
      <c r="O22" s="2"/>
      <c r="P22" s="2" t="s">
        <v>176</v>
      </c>
      <c r="Q22" s="2"/>
    </row>
    <row r="23" customFormat="false" ht="23.85" hidden="false" customHeight="false" outlineLevel="0" collapsed="false">
      <c r="A23" s="2" t="s">
        <v>177</v>
      </c>
      <c r="B23" s="2" t="s">
        <v>135</v>
      </c>
      <c r="C23" s="2" t="s">
        <v>136</v>
      </c>
      <c r="D23" s="2" t="s">
        <v>178</v>
      </c>
      <c r="E23" s="2" t="s">
        <v>48</v>
      </c>
      <c r="F23" s="2" t="s">
        <v>22</v>
      </c>
      <c r="G23" s="2"/>
      <c r="H23" s="2" t="s">
        <v>23</v>
      </c>
      <c r="I23" s="2" t="s">
        <v>179</v>
      </c>
      <c r="J23" s="2" t="s">
        <v>74</v>
      </c>
      <c r="K23" s="2" t="n">
        <v>0.15</v>
      </c>
      <c r="L23" s="2" t="n">
        <v>0.3</v>
      </c>
      <c r="M23" s="2" t="s">
        <v>180</v>
      </c>
      <c r="N23" s="2" t="s">
        <v>181</v>
      </c>
      <c r="O23" s="2"/>
      <c r="P23" s="2" t="s">
        <v>182</v>
      </c>
      <c r="Q23" s="2"/>
    </row>
    <row r="24" customFormat="false" ht="23.85" hidden="false" customHeight="false" outlineLevel="0" collapsed="false">
      <c r="A24" s="2" t="s">
        <v>183</v>
      </c>
      <c r="B24" s="2" t="s">
        <v>135</v>
      </c>
      <c r="C24" s="2" t="s">
        <v>184</v>
      </c>
      <c r="D24" s="2" t="s">
        <v>185</v>
      </c>
      <c r="E24" s="2" t="s">
        <v>48</v>
      </c>
      <c r="F24" s="2" t="s">
        <v>22</v>
      </c>
      <c r="G24" s="2"/>
      <c r="H24" s="2" t="s">
        <v>23</v>
      </c>
      <c r="I24" s="2" t="s">
        <v>186</v>
      </c>
      <c r="J24" s="2" t="s">
        <v>23</v>
      </c>
      <c r="K24" s="2" t="n">
        <v>0.25</v>
      </c>
      <c r="L24" s="2" t="n">
        <v>0.45</v>
      </c>
      <c r="M24" s="2" t="s">
        <v>75</v>
      </c>
      <c r="N24" s="2" t="s">
        <v>187</v>
      </c>
      <c r="O24" s="2"/>
      <c r="P24" s="2" t="s">
        <v>188</v>
      </c>
      <c r="Q24" s="2"/>
    </row>
    <row r="25" customFormat="false" ht="23.85" hidden="false" customHeight="false" outlineLevel="0" collapsed="false">
      <c r="A25" s="2" t="s">
        <v>189</v>
      </c>
      <c r="B25" s="2" t="s">
        <v>135</v>
      </c>
      <c r="C25" s="2" t="s">
        <v>190</v>
      </c>
      <c r="D25" s="2" t="s">
        <v>191</v>
      </c>
      <c r="E25" s="2" t="s">
        <v>48</v>
      </c>
      <c r="F25" s="2" t="s">
        <v>22</v>
      </c>
      <c r="G25" s="2"/>
      <c r="H25" s="2" t="s">
        <v>72</v>
      </c>
      <c r="I25" s="2" t="s">
        <v>192</v>
      </c>
      <c r="J25" s="2" t="s">
        <v>74</v>
      </c>
      <c r="K25" s="2" t="n">
        <v>0.05</v>
      </c>
      <c r="L25" s="2" t="n">
        <v>0.15</v>
      </c>
      <c r="M25" s="2" t="s">
        <v>193</v>
      </c>
      <c r="N25" s="2" t="s">
        <v>194</v>
      </c>
      <c r="O25" s="2"/>
      <c r="P25" s="2" t="s">
        <v>195</v>
      </c>
      <c r="Q25" s="2"/>
    </row>
    <row r="26" customFormat="false" ht="23.85" hidden="false" customHeight="false" outlineLevel="0" collapsed="false">
      <c r="A26" s="2" t="s">
        <v>196</v>
      </c>
      <c r="B26" s="2" t="s">
        <v>135</v>
      </c>
      <c r="C26" s="2" t="s">
        <v>197</v>
      </c>
      <c r="D26" s="2" t="s">
        <v>198</v>
      </c>
      <c r="E26" s="2" t="s">
        <v>48</v>
      </c>
      <c r="F26" s="2" t="s">
        <v>22</v>
      </c>
      <c r="G26" s="2"/>
      <c r="H26" s="2" t="s">
        <v>23</v>
      </c>
      <c r="I26" s="2" t="s">
        <v>199</v>
      </c>
      <c r="J26" s="2" t="s">
        <v>23</v>
      </c>
      <c r="K26" s="2" t="n">
        <v>0.05</v>
      </c>
      <c r="L26" s="2" t="n">
        <v>0.15</v>
      </c>
      <c r="M26" s="2" t="s">
        <v>200</v>
      </c>
      <c r="N26" s="2" t="s">
        <v>201</v>
      </c>
      <c r="O26" s="2"/>
      <c r="P26" s="2" t="s">
        <v>202</v>
      </c>
      <c r="Q26" s="2"/>
    </row>
    <row r="27" customFormat="false" ht="35.05" hidden="false" customHeight="false" outlineLevel="0" collapsed="false">
      <c r="A27" s="2" t="s">
        <v>203</v>
      </c>
      <c r="B27" s="2" t="s">
        <v>204</v>
      </c>
      <c r="C27" s="2" t="s">
        <v>205</v>
      </c>
      <c r="D27" s="2" t="s">
        <v>206</v>
      </c>
      <c r="E27" s="2" t="s">
        <v>104</v>
      </c>
      <c r="F27" s="2" t="s">
        <v>22</v>
      </c>
      <c r="G27" s="2"/>
      <c r="H27" s="2" t="s">
        <v>23</v>
      </c>
      <c r="I27" s="2" t="s">
        <v>207</v>
      </c>
      <c r="J27" s="2" t="s">
        <v>23</v>
      </c>
      <c r="K27" s="2" t="n">
        <v>0.45</v>
      </c>
      <c r="L27" s="2" t="n">
        <v>0.65</v>
      </c>
      <c r="M27" s="2" t="s">
        <v>208</v>
      </c>
      <c r="N27" s="2" t="s">
        <v>209</v>
      </c>
      <c r="O27" s="2"/>
      <c r="P27" s="2" t="s">
        <v>210</v>
      </c>
      <c r="Q27" s="2"/>
    </row>
    <row r="28" customFormat="false" ht="35.05" hidden="false" customHeight="false" outlineLevel="0" collapsed="false">
      <c r="A28" s="2" t="s">
        <v>211</v>
      </c>
      <c r="B28" s="2" t="s">
        <v>204</v>
      </c>
      <c r="C28" s="2" t="s">
        <v>205</v>
      </c>
      <c r="D28" s="2" t="s">
        <v>212</v>
      </c>
      <c r="E28" s="2" t="s">
        <v>138</v>
      </c>
      <c r="F28" s="2" t="s">
        <v>22</v>
      </c>
      <c r="G28" s="2"/>
      <c r="H28" s="2" t="s">
        <v>72</v>
      </c>
      <c r="I28" s="2" t="s">
        <v>213</v>
      </c>
      <c r="J28" s="2" t="s">
        <v>23</v>
      </c>
      <c r="K28" s="2" t="n">
        <v>0.35</v>
      </c>
      <c r="L28" s="2" t="n">
        <v>0.55</v>
      </c>
      <c r="M28" s="2" t="s">
        <v>214</v>
      </c>
      <c r="N28" s="2" t="s">
        <v>215</v>
      </c>
      <c r="O28" s="2"/>
      <c r="P28" s="2" t="s">
        <v>216</v>
      </c>
      <c r="Q28" s="2"/>
    </row>
    <row r="29" customFormat="false" ht="23.85" hidden="false" customHeight="false" outlineLevel="0" collapsed="false">
      <c r="A29" s="2" t="s">
        <v>217</v>
      </c>
      <c r="B29" s="2" t="s">
        <v>204</v>
      </c>
      <c r="C29" s="2" t="s">
        <v>205</v>
      </c>
      <c r="D29" s="2" t="s">
        <v>218</v>
      </c>
      <c r="E29" s="2" t="s">
        <v>48</v>
      </c>
      <c r="F29" s="2" t="s">
        <v>22</v>
      </c>
      <c r="G29" s="2"/>
      <c r="H29" s="2" t="s">
        <v>32</v>
      </c>
      <c r="I29" s="2" t="s">
        <v>219</v>
      </c>
      <c r="J29" s="2" t="s">
        <v>23</v>
      </c>
      <c r="K29" s="2" t="n">
        <v>0.5</v>
      </c>
      <c r="L29" s="2" t="n">
        <v>0.7</v>
      </c>
      <c r="M29" s="2" t="s">
        <v>220</v>
      </c>
      <c r="N29" s="2" t="s">
        <v>221</v>
      </c>
      <c r="O29" s="2"/>
      <c r="P29" s="2" t="s">
        <v>222</v>
      </c>
      <c r="Q29" s="2"/>
    </row>
    <row r="30" customFormat="false" ht="23.85" hidden="false" customHeight="false" outlineLevel="0" collapsed="false">
      <c r="A30" s="2" t="s">
        <v>223</v>
      </c>
      <c r="B30" s="2" t="s">
        <v>204</v>
      </c>
      <c r="C30" s="2" t="s">
        <v>224</v>
      </c>
      <c r="D30" s="2" t="s">
        <v>225</v>
      </c>
      <c r="E30" s="2" t="s">
        <v>48</v>
      </c>
      <c r="F30" s="2" t="s">
        <v>22</v>
      </c>
      <c r="G30" s="2"/>
      <c r="H30" s="2" t="s">
        <v>72</v>
      </c>
      <c r="I30" s="2" t="s">
        <v>226</v>
      </c>
      <c r="J30" s="2" t="s">
        <v>74</v>
      </c>
      <c r="K30" s="2" t="n">
        <v>0.1</v>
      </c>
      <c r="L30" s="2" t="n">
        <v>0.25</v>
      </c>
      <c r="M30" s="2" t="s">
        <v>227</v>
      </c>
      <c r="N30" s="2" t="s">
        <v>228</v>
      </c>
      <c r="O30" s="2"/>
      <c r="P30" s="2" t="s">
        <v>229</v>
      </c>
      <c r="Q30" s="2"/>
    </row>
    <row r="31" customFormat="false" ht="23.85" hidden="false" customHeight="false" outlineLevel="0" collapsed="false">
      <c r="A31" s="2" t="s">
        <v>230</v>
      </c>
      <c r="B31" s="2" t="s">
        <v>204</v>
      </c>
      <c r="C31" s="2" t="s">
        <v>231</v>
      </c>
      <c r="D31" s="2" t="s">
        <v>232</v>
      </c>
      <c r="E31" s="2" t="s">
        <v>48</v>
      </c>
      <c r="F31" s="2" t="s">
        <v>22</v>
      </c>
      <c r="G31" s="2"/>
      <c r="H31" s="2" t="s">
        <v>72</v>
      </c>
      <c r="I31" s="2" t="s">
        <v>233</v>
      </c>
      <c r="J31" s="2" t="s">
        <v>74</v>
      </c>
      <c r="K31" s="2" t="n">
        <v>0.1</v>
      </c>
      <c r="L31" s="2" t="n">
        <v>0.25</v>
      </c>
      <c r="M31" s="2" t="s">
        <v>234</v>
      </c>
      <c r="N31" s="2" t="s">
        <v>235</v>
      </c>
      <c r="O31" s="2"/>
      <c r="P31" s="2" t="s">
        <v>236</v>
      </c>
      <c r="Q31" s="2"/>
    </row>
    <row r="32" customFormat="false" ht="23.85" hidden="false" customHeight="false" outlineLevel="0" collapsed="false">
      <c r="A32" s="2" t="s">
        <v>237</v>
      </c>
      <c r="B32" s="2" t="s">
        <v>204</v>
      </c>
      <c r="C32" s="2" t="s">
        <v>238</v>
      </c>
      <c r="D32" s="2" t="s">
        <v>239</v>
      </c>
      <c r="E32" s="2" t="s">
        <v>48</v>
      </c>
      <c r="F32" s="2" t="s">
        <v>22</v>
      </c>
      <c r="G32" s="2"/>
      <c r="H32" s="2" t="s">
        <v>72</v>
      </c>
      <c r="I32" s="2" t="s">
        <v>240</v>
      </c>
      <c r="J32" s="2" t="s">
        <v>23</v>
      </c>
      <c r="K32" s="2" t="n">
        <v>0.25</v>
      </c>
      <c r="L32" s="2" t="n">
        <v>0.45</v>
      </c>
      <c r="M32" s="2" t="s">
        <v>241</v>
      </c>
      <c r="N32" s="2" t="s">
        <v>242</v>
      </c>
      <c r="O32" s="2"/>
      <c r="P32" s="2" t="s">
        <v>243</v>
      </c>
      <c r="Q32" s="2"/>
    </row>
    <row r="33" customFormat="false" ht="23.85" hidden="false" customHeight="false" outlineLevel="0" collapsed="false">
      <c r="A33" s="2" t="s">
        <v>244</v>
      </c>
      <c r="B33" s="2" t="s">
        <v>204</v>
      </c>
      <c r="C33" s="2" t="s">
        <v>245</v>
      </c>
      <c r="D33" s="2" t="s">
        <v>246</v>
      </c>
      <c r="E33" s="2" t="s">
        <v>247</v>
      </c>
      <c r="F33" s="2" t="s">
        <v>22</v>
      </c>
      <c r="G33" s="2"/>
      <c r="H33" s="2" t="s">
        <v>32</v>
      </c>
      <c r="I33" s="2" t="s">
        <v>248</v>
      </c>
      <c r="J33" s="2" t="s">
        <v>25</v>
      </c>
      <c r="K33" s="2" t="n">
        <v>0.55</v>
      </c>
      <c r="L33" s="2" t="n">
        <v>0.75</v>
      </c>
      <c r="M33" s="2" t="s">
        <v>249</v>
      </c>
      <c r="N33" s="2" t="s">
        <v>250</v>
      </c>
      <c r="O33" s="2"/>
      <c r="P33" s="2" t="s">
        <v>251</v>
      </c>
      <c r="Q33" s="2"/>
    </row>
    <row r="34" customFormat="false" ht="23.85" hidden="false" customHeight="false" outlineLevel="0" collapsed="false">
      <c r="A34" s="2" t="s">
        <v>252</v>
      </c>
      <c r="B34" s="2" t="s">
        <v>204</v>
      </c>
      <c r="C34" s="2" t="s">
        <v>253</v>
      </c>
      <c r="D34" s="2" t="s">
        <v>254</v>
      </c>
      <c r="E34" s="2" t="s">
        <v>48</v>
      </c>
      <c r="F34" s="2" t="s">
        <v>22</v>
      </c>
      <c r="G34" s="2"/>
      <c r="H34" s="2" t="s">
        <v>23</v>
      </c>
      <c r="I34" s="2" t="s">
        <v>255</v>
      </c>
      <c r="J34" s="2" t="s">
        <v>23</v>
      </c>
      <c r="K34" s="2" t="n">
        <v>0.6</v>
      </c>
      <c r="L34" s="2" t="n">
        <v>0.8</v>
      </c>
      <c r="M34" s="2" t="s">
        <v>256</v>
      </c>
      <c r="N34" s="2" t="s">
        <v>257</v>
      </c>
      <c r="O34" s="2"/>
      <c r="P34" s="2" t="s">
        <v>258</v>
      </c>
      <c r="Q34" s="2"/>
    </row>
    <row r="35" customFormat="false" ht="23.85" hidden="false" customHeight="false" outlineLevel="0" collapsed="false">
      <c r="A35" s="2" t="s">
        <v>259</v>
      </c>
      <c r="B35" s="2" t="s">
        <v>204</v>
      </c>
      <c r="C35" s="2" t="s">
        <v>260</v>
      </c>
      <c r="D35" s="2" t="s">
        <v>261</v>
      </c>
      <c r="E35" s="2" t="s">
        <v>48</v>
      </c>
      <c r="F35" s="2" t="s">
        <v>22</v>
      </c>
      <c r="G35" s="2"/>
      <c r="H35" s="2" t="s">
        <v>72</v>
      </c>
      <c r="I35" s="2" t="s">
        <v>262</v>
      </c>
      <c r="J35" s="2" t="s">
        <v>23</v>
      </c>
      <c r="K35" s="2" t="n">
        <v>0.15</v>
      </c>
      <c r="L35" s="2" t="n">
        <v>0.3</v>
      </c>
      <c r="M35" s="2" t="s">
        <v>263</v>
      </c>
      <c r="N35" s="2" t="s">
        <v>264</v>
      </c>
      <c r="O35" s="2"/>
      <c r="P35" s="2" t="s">
        <v>265</v>
      </c>
      <c r="Q35" s="2"/>
    </row>
    <row r="36" customFormat="false" ht="23.85" hidden="false" customHeight="false" outlineLevel="0" collapsed="false">
      <c r="A36" s="2" t="s">
        <v>266</v>
      </c>
      <c r="B36" s="2" t="s">
        <v>204</v>
      </c>
      <c r="C36" s="2" t="s">
        <v>197</v>
      </c>
      <c r="D36" s="2" t="s">
        <v>267</v>
      </c>
      <c r="E36" s="2" t="s">
        <v>48</v>
      </c>
      <c r="F36" s="2" t="s">
        <v>22</v>
      </c>
      <c r="G36" s="2"/>
      <c r="H36" s="2" t="s">
        <v>32</v>
      </c>
      <c r="I36" s="2" t="s">
        <v>268</v>
      </c>
      <c r="J36" s="2" t="s">
        <v>25</v>
      </c>
      <c r="K36" s="2" t="n">
        <v>0.75</v>
      </c>
      <c r="L36" s="2" t="n">
        <v>0.9</v>
      </c>
      <c r="M36" s="2" t="s">
        <v>269</v>
      </c>
      <c r="N36" s="2" t="s">
        <v>270</v>
      </c>
      <c r="O36" s="2"/>
      <c r="P36" s="2" t="s">
        <v>271</v>
      </c>
      <c r="Q36" s="2"/>
    </row>
    <row r="37" customFormat="false" ht="23.85" hidden="false" customHeight="false" outlineLevel="0" collapsed="false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48</v>
      </c>
      <c r="F37" s="2" t="s">
        <v>22</v>
      </c>
      <c r="G37" s="2"/>
      <c r="H37" s="2" t="s">
        <v>72</v>
      </c>
      <c r="I37" s="2" t="s">
        <v>276</v>
      </c>
      <c r="J37" s="2" t="s">
        <v>74</v>
      </c>
      <c r="K37" s="2" t="n">
        <v>0.1</v>
      </c>
      <c r="L37" s="2" t="n">
        <v>0.2</v>
      </c>
      <c r="M37" s="2" t="s">
        <v>277</v>
      </c>
      <c r="N37" s="2" t="s">
        <v>278</v>
      </c>
      <c r="O37" s="2"/>
      <c r="P37" s="2" t="s">
        <v>279</v>
      </c>
      <c r="Q37" s="2"/>
    </row>
    <row r="38" customFormat="false" ht="23.85" hidden="false" customHeight="false" outlineLevel="0" collapsed="false">
      <c r="A38" s="2" t="s">
        <v>280</v>
      </c>
      <c r="B38" s="2" t="s">
        <v>273</v>
      </c>
      <c r="C38" s="2" t="s">
        <v>281</v>
      </c>
      <c r="D38" s="2" t="s">
        <v>282</v>
      </c>
      <c r="E38" s="2" t="s">
        <v>104</v>
      </c>
      <c r="F38" s="2" t="s">
        <v>22</v>
      </c>
      <c r="G38" s="2"/>
      <c r="H38" s="2" t="s">
        <v>23</v>
      </c>
      <c r="I38" s="2" t="s">
        <v>283</v>
      </c>
      <c r="J38" s="2" t="s">
        <v>74</v>
      </c>
      <c r="K38" s="2" t="n">
        <v>0.15</v>
      </c>
      <c r="L38" s="2" t="n">
        <v>0.3</v>
      </c>
      <c r="M38" s="2" t="s">
        <v>284</v>
      </c>
      <c r="N38" s="2" t="s">
        <v>285</v>
      </c>
      <c r="O38" s="2"/>
      <c r="P38" s="2" t="s">
        <v>286</v>
      </c>
      <c r="Q38" s="2"/>
    </row>
    <row r="39" customFormat="false" ht="23.85" hidden="false" customHeight="false" outlineLevel="0" collapsed="false">
      <c r="A39" s="2" t="s">
        <v>287</v>
      </c>
      <c r="B39" s="2" t="s">
        <v>273</v>
      </c>
      <c r="C39" s="2" t="s">
        <v>157</v>
      </c>
      <c r="D39" s="2" t="s">
        <v>288</v>
      </c>
      <c r="E39" s="2" t="s">
        <v>289</v>
      </c>
      <c r="F39" s="2" t="s">
        <v>22</v>
      </c>
      <c r="G39" s="2"/>
      <c r="H39" s="2" t="s">
        <v>23</v>
      </c>
      <c r="I39" s="2" t="s">
        <v>290</v>
      </c>
      <c r="J39" s="2" t="s">
        <v>74</v>
      </c>
      <c r="K39" s="2" t="n">
        <v>0.4</v>
      </c>
      <c r="L39" s="2" t="n">
        <v>0.6</v>
      </c>
      <c r="M39" s="2" t="s">
        <v>291</v>
      </c>
      <c r="N39" s="2" t="s">
        <v>292</v>
      </c>
      <c r="O39" s="2"/>
      <c r="P39" s="2" t="s">
        <v>293</v>
      </c>
      <c r="Q39" s="2"/>
    </row>
    <row r="40" customFormat="false" ht="23.85" hidden="false" customHeight="false" outlineLevel="0" collapsed="false">
      <c r="A40" s="2" t="s">
        <v>294</v>
      </c>
      <c r="B40" s="2" t="s">
        <v>273</v>
      </c>
      <c r="C40" s="2" t="s">
        <v>295</v>
      </c>
      <c r="D40" s="2" t="s">
        <v>296</v>
      </c>
      <c r="E40" s="2" t="s">
        <v>48</v>
      </c>
      <c r="F40" s="2" t="s">
        <v>22</v>
      </c>
      <c r="G40" s="2"/>
      <c r="H40" s="2" t="s">
        <v>23</v>
      </c>
      <c r="I40" s="2" t="s">
        <v>297</v>
      </c>
      <c r="J40" s="2" t="s">
        <v>23</v>
      </c>
      <c r="K40" s="2" t="n">
        <v>0.35</v>
      </c>
      <c r="L40" s="2" t="n">
        <v>0.55</v>
      </c>
      <c r="M40" s="2" t="s">
        <v>298</v>
      </c>
      <c r="N40" s="2" t="s">
        <v>299</v>
      </c>
      <c r="O40" s="2"/>
      <c r="P40" s="2" t="s">
        <v>300</v>
      </c>
      <c r="Q40" s="2"/>
    </row>
    <row r="41" customFormat="false" ht="23.85" hidden="false" customHeight="false" outlineLevel="0" collapsed="false">
      <c r="A41" s="2" t="s">
        <v>301</v>
      </c>
      <c r="B41" s="2" t="s">
        <v>273</v>
      </c>
      <c r="C41" s="2" t="s">
        <v>274</v>
      </c>
      <c r="D41" s="2" t="s">
        <v>302</v>
      </c>
      <c r="E41" s="2" t="s">
        <v>48</v>
      </c>
      <c r="F41" s="2" t="s">
        <v>22</v>
      </c>
      <c r="G41" s="2"/>
      <c r="H41" s="2" t="s">
        <v>23</v>
      </c>
      <c r="I41" s="2" t="s">
        <v>303</v>
      </c>
      <c r="J41" s="2" t="s">
        <v>23</v>
      </c>
      <c r="K41" s="2" t="n">
        <v>0.4</v>
      </c>
      <c r="L41" s="2" t="n">
        <v>0.6</v>
      </c>
      <c r="M41" s="2" t="s">
        <v>304</v>
      </c>
      <c r="N41" s="2" t="s">
        <v>305</v>
      </c>
      <c r="O41" s="2"/>
      <c r="P41" s="2" t="s">
        <v>258</v>
      </c>
      <c r="Q41" s="2"/>
    </row>
    <row r="42" customFormat="false" ht="23.85" hidden="false" customHeight="false" outlineLevel="0" collapsed="false">
      <c r="A42" s="2" t="s">
        <v>306</v>
      </c>
      <c r="B42" s="2" t="s">
        <v>307</v>
      </c>
      <c r="C42" s="2" t="s">
        <v>308</v>
      </c>
      <c r="D42" s="2" t="s">
        <v>309</v>
      </c>
      <c r="E42" s="2" t="s">
        <v>48</v>
      </c>
      <c r="F42" s="2" t="s">
        <v>22</v>
      </c>
      <c r="G42" s="2"/>
      <c r="H42" s="2" t="s">
        <v>23</v>
      </c>
      <c r="I42" s="2" t="s">
        <v>310</v>
      </c>
      <c r="J42" s="2" t="s">
        <v>23</v>
      </c>
      <c r="K42" s="2" t="n">
        <v>0.25</v>
      </c>
      <c r="L42" s="2" t="n">
        <v>0.45</v>
      </c>
      <c r="M42" s="2" t="s">
        <v>311</v>
      </c>
      <c r="N42" s="2" t="s">
        <v>312</v>
      </c>
      <c r="O42" s="2"/>
      <c r="P42" s="2" t="s">
        <v>313</v>
      </c>
      <c r="Q42" s="2"/>
    </row>
    <row r="43" customFormat="false" ht="23.85" hidden="false" customHeight="false" outlineLevel="0" collapsed="false">
      <c r="A43" s="2" t="s">
        <v>314</v>
      </c>
      <c r="B43" s="2" t="s">
        <v>307</v>
      </c>
      <c r="C43" s="2" t="s">
        <v>315</v>
      </c>
      <c r="D43" s="2" t="s">
        <v>316</v>
      </c>
      <c r="E43" s="2" t="s">
        <v>48</v>
      </c>
      <c r="F43" s="2" t="s">
        <v>22</v>
      </c>
      <c r="G43" s="2"/>
      <c r="H43" s="2" t="s">
        <v>72</v>
      </c>
      <c r="I43" s="2" t="s">
        <v>317</v>
      </c>
      <c r="J43" s="2" t="s">
        <v>23</v>
      </c>
      <c r="K43" s="2" t="n">
        <v>0.05</v>
      </c>
      <c r="L43" s="2" t="n">
        <v>0.15</v>
      </c>
      <c r="M43" s="2" t="s">
        <v>318</v>
      </c>
      <c r="N43" s="2" t="s">
        <v>319</v>
      </c>
      <c r="O43" s="2"/>
      <c r="P43" s="2" t="s">
        <v>320</v>
      </c>
      <c r="Q43" s="2"/>
    </row>
    <row r="44" customFormat="false" ht="23.85" hidden="false" customHeight="false" outlineLevel="0" collapsed="false">
      <c r="A44" s="2" t="s">
        <v>321</v>
      </c>
      <c r="B44" s="2" t="s">
        <v>307</v>
      </c>
      <c r="C44" s="2" t="s">
        <v>170</v>
      </c>
      <c r="D44" s="2" t="s">
        <v>322</v>
      </c>
      <c r="E44" s="2" t="s">
        <v>323</v>
      </c>
      <c r="F44" s="2" t="s">
        <v>22</v>
      </c>
      <c r="G44" s="2"/>
      <c r="H44" s="2" t="s">
        <v>23</v>
      </c>
      <c r="I44" s="2" t="s">
        <v>324</v>
      </c>
      <c r="J44" s="2" t="s">
        <v>25</v>
      </c>
      <c r="K44" s="2" t="n">
        <v>0.3</v>
      </c>
      <c r="L44" s="2" t="n">
        <v>0.5</v>
      </c>
      <c r="M44" s="2" t="s">
        <v>325</v>
      </c>
      <c r="N44" s="2" t="s">
        <v>326</v>
      </c>
      <c r="O44" s="2"/>
      <c r="P44" s="2" t="s">
        <v>327</v>
      </c>
      <c r="Q44" s="2"/>
    </row>
    <row r="45" customFormat="false" ht="23.85" hidden="false" customHeight="false" outlineLevel="0" collapsed="false">
      <c r="A45" s="2" t="s">
        <v>328</v>
      </c>
      <c r="B45" s="2" t="s">
        <v>307</v>
      </c>
      <c r="C45" s="2" t="s">
        <v>197</v>
      </c>
      <c r="D45" s="2" t="s">
        <v>329</v>
      </c>
      <c r="E45" s="2" t="s">
        <v>48</v>
      </c>
      <c r="F45" s="2" t="s">
        <v>22</v>
      </c>
      <c r="G45" s="2"/>
      <c r="H45" s="2" t="s">
        <v>32</v>
      </c>
      <c r="I45" s="2" t="s">
        <v>330</v>
      </c>
      <c r="J45" s="2" t="s">
        <v>25</v>
      </c>
      <c r="K45" s="2" t="n">
        <v>0.05</v>
      </c>
      <c r="L45" s="2" t="n">
        <v>0.15</v>
      </c>
      <c r="M45" s="2" t="s">
        <v>331</v>
      </c>
      <c r="N45" s="2" t="s">
        <v>332</v>
      </c>
      <c r="O45" s="2"/>
      <c r="P45" s="2" t="s">
        <v>333</v>
      </c>
      <c r="Q45" s="2"/>
    </row>
    <row r="46" customFormat="false" ht="23.85" hidden="false" customHeight="false" outlineLevel="0" collapsed="false">
      <c r="A46" s="2" t="s">
        <v>334</v>
      </c>
      <c r="B46" s="2" t="s">
        <v>307</v>
      </c>
      <c r="C46" s="2" t="s">
        <v>335</v>
      </c>
      <c r="D46" s="2" t="s">
        <v>336</v>
      </c>
      <c r="E46" s="2" t="s">
        <v>48</v>
      </c>
      <c r="F46" s="2" t="s">
        <v>22</v>
      </c>
      <c r="G46" s="2"/>
      <c r="H46" s="2" t="s">
        <v>23</v>
      </c>
      <c r="I46" s="2" t="s">
        <v>337</v>
      </c>
      <c r="J46" s="2" t="s">
        <v>25</v>
      </c>
      <c r="K46" s="2" t="n">
        <v>0.45</v>
      </c>
      <c r="L46" s="2" t="n">
        <v>0.65</v>
      </c>
      <c r="M46" s="2" t="s">
        <v>338</v>
      </c>
      <c r="N46" s="2" t="s">
        <v>264</v>
      </c>
      <c r="O46" s="2"/>
      <c r="P46" s="2" t="s">
        <v>339</v>
      </c>
      <c r="Q46" s="2"/>
    </row>
    <row r="47" customFormat="false" ht="23.85" hidden="false" customHeight="false" outlineLevel="0" collapsed="false">
      <c r="A47" s="2" t="s">
        <v>340</v>
      </c>
      <c r="B47" s="2" t="s">
        <v>341</v>
      </c>
      <c r="C47" s="2" t="s">
        <v>342</v>
      </c>
      <c r="D47" s="2" t="s">
        <v>343</v>
      </c>
      <c r="E47" s="2" t="s">
        <v>344</v>
      </c>
      <c r="F47" s="2" t="s">
        <v>22</v>
      </c>
      <c r="G47" s="2"/>
      <c r="H47" s="2" t="s">
        <v>23</v>
      </c>
      <c r="I47" s="2" t="s">
        <v>345</v>
      </c>
      <c r="J47" s="2" t="s">
        <v>23</v>
      </c>
      <c r="K47" s="2" t="n">
        <v>0.6</v>
      </c>
      <c r="L47" s="2" t="n">
        <v>0.8</v>
      </c>
      <c r="M47" s="2" t="s">
        <v>346</v>
      </c>
      <c r="N47" s="2" t="s">
        <v>347</v>
      </c>
      <c r="O47" s="2"/>
      <c r="P47" s="2" t="s">
        <v>348</v>
      </c>
      <c r="Q47" s="2"/>
    </row>
    <row r="48" customFormat="false" ht="23.85" hidden="false" customHeight="false" outlineLevel="0" collapsed="false">
      <c r="A48" s="2" t="s">
        <v>349</v>
      </c>
      <c r="B48" s="2" t="s">
        <v>341</v>
      </c>
      <c r="C48" s="2" t="s">
        <v>350</v>
      </c>
      <c r="D48" s="2" t="s">
        <v>351</v>
      </c>
      <c r="E48" s="2" t="s">
        <v>352</v>
      </c>
      <c r="F48" s="2" t="s">
        <v>22</v>
      </c>
      <c r="G48" s="2"/>
      <c r="H48" s="2" t="s">
        <v>23</v>
      </c>
      <c r="I48" s="2" t="s">
        <v>353</v>
      </c>
      <c r="J48" s="2" t="s">
        <v>23</v>
      </c>
      <c r="K48" s="2" t="n">
        <v>0.3</v>
      </c>
      <c r="L48" s="2" t="n">
        <v>0.5</v>
      </c>
      <c r="M48" s="2" t="s">
        <v>354</v>
      </c>
      <c r="N48" s="2" t="s">
        <v>355</v>
      </c>
      <c r="O48" s="2"/>
      <c r="P48" s="2" t="s">
        <v>356</v>
      </c>
      <c r="Q48" s="2"/>
    </row>
    <row r="49" customFormat="false" ht="23.85" hidden="false" customHeight="false" outlineLevel="0" collapsed="false">
      <c r="A49" s="2" t="s">
        <v>357</v>
      </c>
      <c r="B49" s="2" t="s">
        <v>341</v>
      </c>
      <c r="C49" s="2" t="s">
        <v>358</v>
      </c>
      <c r="D49" s="2" t="s">
        <v>359</v>
      </c>
      <c r="E49" s="2" t="s">
        <v>89</v>
      </c>
      <c r="F49" s="2" t="s">
        <v>22</v>
      </c>
      <c r="G49" s="2"/>
      <c r="H49" s="2" t="s">
        <v>23</v>
      </c>
      <c r="I49" s="2" t="s">
        <v>360</v>
      </c>
      <c r="J49" s="2" t="s">
        <v>74</v>
      </c>
      <c r="K49" s="2" t="n">
        <v>0.12</v>
      </c>
      <c r="L49" s="2" t="n">
        <v>0.25</v>
      </c>
      <c r="M49" s="2" t="s">
        <v>361</v>
      </c>
      <c r="N49" s="2" t="s">
        <v>362</v>
      </c>
      <c r="O49" s="2"/>
      <c r="P49" s="2" t="s">
        <v>363</v>
      </c>
      <c r="Q49" s="2"/>
    </row>
    <row r="50" customFormat="false" ht="23.85" hidden="false" customHeight="false" outlineLevel="0" collapsed="false">
      <c r="A50" s="2" t="s">
        <v>364</v>
      </c>
      <c r="B50" s="2" t="s">
        <v>341</v>
      </c>
      <c r="C50" s="2" t="s">
        <v>365</v>
      </c>
      <c r="D50" s="2" t="s">
        <v>366</v>
      </c>
      <c r="E50" s="2" t="s">
        <v>367</v>
      </c>
      <c r="F50" s="2" t="s">
        <v>22</v>
      </c>
      <c r="G50" s="2"/>
      <c r="H50" s="2" t="s">
        <v>23</v>
      </c>
      <c r="I50" s="2" t="s">
        <v>368</v>
      </c>
      <c r="J50" s="2" t="s">
        <v>23</v>
      </c>
      <c r="K50" s="2" t="n">
        <v>0.15</v>
      </c>
      <c r="L50" s="2" t="n">
        <v>0.3</v>
      </c>
      <c r="M50" s="2" t="s">
        <v>354</v>
      </c>
      <c r="N50" s="2" t="s">
        <v>369</v>
      </c>
      <c r="O50" s="2"/>
      <c r="P50" s="2" t="s">
        <v>370</v>
      </c>
      <c r="Q50" s="2"/>
    </row>
    <row r="51" customFormat="false" ht="23.85" hidden="false" customHeight="false" outlineLevel="0" collapsed="false">
      <c r="A51" s="2" t="s">
        <v>371</v>
      </c>
      <c r="B51" s="2" t="s">
        <v>341</v>
      </c>
      <c r="C51" s="2" t="s">
        <v>372</v>
      </c>
      <c r="D51" s="2" t="s">
        <v>373</v>
      </c>
      <c r="E51" s="2" t="s">
        <v>48</v>
      </c>
      <c r="F51" s="2" t="s">
        <v>22</v>
      </c>
      <c r="G51" s="2"/>
      <c r="H51" s="2" t="s">
        <v>72</v>
      </c>
      <c r="I51" s="2" t="s">
        <v>374</v>
      </c>
      <c r="J51" s="2" t="s">
        <v>74</v>
      </c>
      <c r="K51" s="2" t="n">
        <v>0.2</v>
      </c>
      <c r="L51" s="2" t="n">
        <v>0.35</v>
      </c>
      <c r="M51" s="2" t="s">
        <v>375</v>
      </c>
      <c r="N51" s="2" t="s">
        <v>376</v>
      </c>
      <c r="O51" s="2"/>
      <c r="P51" s="2" t="s">
        <v>377</v>
      </c>
      <c r="Q51" s="2"/>
    </row>
    <row r="52" customFormat="false" ht="23.85" hidden="false" customHeight="false" outlineLevel="0" collapsed="false">
      <c r="A52" s="2" t="s">
        <v>378</v>
      </c>
      <c r="B52" s="2" t="s">
        <v>379</v>
      </c>
      <c r="C52" s="2" t="s">
        <v>380</v>
      </c>
      <c r="D52" s="2" t="s">
        <v>381</v>
      </c>
      <c r="E52" s="2" t="s">
        <v>247</v>
      </c>
      <c r="F52" s="2" t="s">
        <v>22</v>
      </c>
      <c r="G52" s="2"/>
      <c r="H52" s="2" t="s">
        <v>72</v>
      </c>
      <c r="I52" s="2" t="s">
        <v>382</v>
      </c>
      <c r="J52" s="2" t="s">
        <v>74</v>
      </c>
      <c r="K52" s="2" t="n">
        <v>0.05</v>
      </c>
      <c r="L52" s="2" t="n">
        <v>0.15</v>
      </c>
      <c r="M52" s="2" t="s">
        <v>383</v>
      </c>
      <c r="N52" s="2" t="s">
        <v>384</v>
      </c>
      <c r="O52" s="2"/>
      <c r="P52" s="2" t="s">
        <v>385</v>
      </c>
      <c r="Q52" s="2"/>
    </row>
    <row r="53" customFormat="false" ht="23.85" hidden="false" customHeight="false" outlineLevel="0" collapsed="false">
      <c r="A53" s="2" t="s">
        <v>386</v>
      </c>
      <c r="B53" s="2" t="s">
        <v>379</v>
      </c>
      <c r="C53" s="2" t="s">
        <v>387</v>
      </c>
      <c r="D53" s="2" t="s">
        <v>388</v>
      </c>
      <c r="E53" s="2" t="s">
        <v>48</v>
      </c>
      <c r="F53" s="2" t="s">
        <v>22</v>
      </c>
      <c r="G53" s="2"/>
      <c r="H53" s="2" t="s">
        <v>72</v>
      </c>
      <c r="I53" s="2" t="s">
        <v>389</v>
      </c>
      <c r="J53" s="2" t="s">
        <v>74</v>
      </c>
      <c r="K53" s="2" t="n">
        <v>0.1</v>
      </c>
      <c r="L53" s="2" t="n">
        <v>0.25</v>
      </c>
      <c r="M53" s="2" t="s">
        <v>390</v>
      </c>
      <c r="N53" s="2" t="s">
        <v>391</v>
      </c>
      <c r="O53" s="2"/>
      <c r="P53" s="2" t="s">
        <v>392</v>
      </c>
      <c r="Q53" s="2"/>
    </row>
    <row r="54" customFormat="false" ht="23.85" hidden="false" customHeight="false" outlineLevel="0" collapsed="false">
      <c r="A54" s="2" t="s">
        <v>393</v>
      </c>
      <c r="B54" s="2" t="s">
        <v>379</v>
      </c>
      <c r="C54" s="2" t="s">
        <v>394</v>
      </c>
      <c r="D54" s="2" t="s">
        <v>395</v>
      </c>
      <c r="E54" s="2" t="s">
        <v>48</v>
      </c>
      <c r="F54" s="2" t="s">
        <v>22</v>
      </c>
      <c r="G54" s="2"/>
      <c r="H54" s="2" t="s">
        <v>23</v>
      </c>
      <c r="I54" s="2" t="s">
        <v>396</v>
      </c>
      <c r="J54" s="2" t="s">
        <v>74</v>
      </c>
      <c r="K54" s="2" t="n">
        <v>0.2</v>
      </c>
      <c r="L54" s="2" t="n">
        <v>0.4</v>
      </c>
      <c r="M54" s="2" t="s">
        <v>397</v>
      </c>
      <c r="N54" s="2" t="s">
        <v>398</v>
      </c>
      <c r="O54" s="2"/>
      <c r="P54" s="2" t="s">
        <v>399</v>
      </c>
      <c r="Q54" s="2"/>
    </row>
    <row r="55" customFormat="false" ht="23.85" hidden="false" customHeight="false" outlineLevel="0" collapsed="false">
      <c r="A55" s="2" t="s">
        <v>400</v>
      </c>
      <c r="B55" s="2" t="s">
        <v>401</v>
      </c>
      <c r="C55" s="2" t="s">
        <v>18</v>
      </c>
      <c r="D55" s="2" t="s">
        <v>402</v>
      </c>
      <c r="E55" s="2" t="s">
        <v>403</v>
      </c>
      <c r="F55" s="2" t="s">
        <v>404</v>
      </c>
      <c r="G55" s="2" t="n">
        <v>0</v>
      </c>
      <c r="H55" s="2" t="s">
        <v>32</v>
      </c>
      <c r="I55" s="2" t="s">
        <v>405</v>
      </c>
      <c r="J55" s="2" t="s">
        <v>25</v>
      </c>
      <c r="K55" s="2" t="n">
        <v>0</v>
      </c>
      <c r="L55" s="2" t="n">
        <v>0.05</v>
      </c>
      <c r="M55" s="2" t="s">
        <v>406</v>
      </c>
      <c r="N55" s="2" t="s">
        <v>407</v>
      </c>
      <c r="O55" s="2"/>
      <c r="P55" s="2" t="s">
        <v>408</v>
      </c>
      <c r="Q55" s="2" t="s">
        <v>409</v>
      </c>
    </row>
    <row r="56" customFormat="false" ht="23.85" hidden="false" customHeight="false" outlineLevel="0" collapsed="false">
      <c r="A56" s="2" t="s">
        <v>410</v>
      </c>
      <c r="B56" s="2" t="s">
        <v>401</v>
      </c>
      <c r="C56" s="2" t="s">
        <v>18</v>
      </c>
      <c r="D56" s="2" t="s">
        <v>411</v>
      </c>
      <c r="E56" s="2" t="s">
        <v>403</v>
      </c>
      <c r="F56" s="2" t="s">
        <v>412</v>
      </c>
      <c r="G56" s="2" t="n">
        <v>1</v>
      </c>
      <c r="H56" s="2" t="s">
        <v>32</v>
      </c>
      <c r="I56" s="2" t="s">
        <v>413</v>
      </c>
      <c r="J56" s="2" t="s">
        <v>25</v>
      </c>
      <c r="K56" s="2" t="n">
        <v>0.65</v>
      </c>
      <c r="L56" s="2" t="n">
        <v>0.85</v>
      </c>
      <c r="M56" s="2" t="s">
        <v>414</v>
      </c>
      <c r="N56" s="2" t="s">
        <v>415</v>
      </c>
      <c r="O56" s="2" t="n">
        <v>0.75</v>
      </c>
      <c r="P56" s="2" t="s">
        <v>416</v>
      </c>
      <c r="Q56" s="2" t="s">
        <v>417</v>
      </c>
    </row>
    <row r="57" customFormat="false" ht="23.85" hidden="false" customHeight="false" outlineLevel="0" collapsed="false">
      <c r="A57" s="2" t="s">
        <v>418</v>
      </c>
      <c r="B57" s="2" t="s">
        <v>401</v>
      </c>
      <c r="C57" s="2" t="s">
        <v>204</v>
      </c>
      <c r="D57" s="2" t="s">
        <v>419</v>
      </c>
      <c r="E57" s="2" t="s">
        <v>420</v>
      </c>
      <c r="F57" s="2" t="s">
        <v>412</v>
      </c>
      <c r="G57" s="2" t="n">
        <v>1</v>
      </c>
      <c r="H57" s="2" t="s">
        <v>23</v>
      </c>
      <c r="I57" s="2" t="s">
        <v>421</v>
      </c>
      <c r="J57" s="2" t="s">
        <v>25</v>
      </c>
      <c r="K57" s="2" t="n">
        <v>0.55</v>
      </c>
      <c r="L57" s="2" t="n">
        <v>0.75</v>
      </c>
      <c r="M57" s="2" t="s">
        <v>422</v>
      </c>
      <c r="N57" s="2" t="s">
        <v>423</v>
      </c>
      <c r="O57" s="2"/>
      <c r="P57" s="2" t="s">
        <v>416</v>
      </c>
      <c r="Q57" s="2" t="s">
        <v>424</v>
      </c>
    </row>
    <row r="58" customFormat="false" ht="23.85" hidden="false" customHeight="false" outlineLevel="0" collapsed="false">
      <c r="A58" s="2" t="s">
        <v>425</v>
      </c>
      <c r="B58" s="2" t="s">
        <v>401</v>
      </c>
      <c r="C58" s="2" t="s">
        <v>135</v>
      </c>
      <c r="D58" s="2" t="s">
        <v>426</v>
      </c>
      <c r="E58" s="2" t="s">
        <v>420</v>
      </c>
      <c r="F58" s="2" t="s">
        <v>404</v>
      </c>
      <c r="G58" s="2" t="n">
        <v>0</v>
      </c>
      <c r="H58" s="2" t="s">
        <v>32</v>
      </c>
      <c r="I58" s="2" t="s">
        <v>427</v>
      </c>
      <c r="J58" s="2" t="s">
        <v>25</v>
      </c>
      <c r="K58" s="2" t="n">
        <v>0.02</v>
      </c>
      <c r="L58" s="2" t="n">
        <v>0.1</v>
      </c>
      <c r="M58" s="2" t="s">
        <v>428</v>
      </c>
      <c r="N58" s="2" t="s">
        <v>429</v>
      </c>
      <c r="O58" s="2"/>
      <c r="P58" s="2" t="s">
        <v>408</v>
      </c>
      <c r="Q58" s="2" t="s">
        <v>430</v>
      </c>
    </row>
    <row r="59" customFormat="false" ht="23.85" hidden="false" customHeight="false" outlineLevel="0" collapsed="false">
      <c r="A59" s="2" t="s">
        <v>431</v>
      </c>
      <c r="B59" s="2" t="s">
        <v>401</v>
      </c>
      <c r="C59" s="2" t="s">
        <v>273</v>
      </c>
      <c r="D59" s="2" t="s">
        <v>432</v>
      </c>
      <c r="E59" s="2" t="s">
        <v>433</v>
      </c>
      <c r="F59" s="2" t="s">
        <v>404</v>
      </c>
      <c r="G59" s="2" t="n">
        <v>0</v>
      </c>
      <c r="H59" s="2" t="s">
        <v>72</v>
      </c>
      <c r="I59" s="2" t="s">
        <v>434</v>
      </c>
      <c r="J59" s="2" t="s">
        <v>23</v>
      </c>
      <c r="K59" s="2" t="n">
        <v>0.6</v>
      </c>
      <c r="L59" s="2" t="n">
        <v>0.8</v>
      </c>
      <c r="M59" s="2" t="s">
        <v>435</v>
      </c>
      <c r="N59" s="2" t="s">
        <v>436</v>
      </c>
      <c r="O59" s="2"/>
      <c r="P59" s="2" t="s">
        <v>437</v>
      </c>
      <c r="Q59" s="2" t="s">
        <v>438</v>
      </c>
    </row>
    <row r="60" customFormat="false" ht="23.85" hidden="false" customHeight="false" outlineLevel="0" collapsed="false">
      <c r="A60" s="2" t="s">
        <v>439</v>
      </c>
      <c r="B60" s="2" t="s">
        <v>401</v>
      </c>
      <c r="C60" s="2" t="s">
        <v>341</v>
      </c>
      <c r="D60" s="2" t="s">
        <v>440</v>
      </c>
      <c r="E60" s="2" t="s">
        <v>441</v>
      </c>
      <c r="F60" s="2" t="s">
        <v>412</v>
      </c>
      <c r="G60" s="2" t="n">
        <v>1</v>
      </c>
      <c r="H60" s="2" t="s">
        <v>23</v>
      </c>
      <c r="I60" s="2" t="s">
        <v>442</v>
      </c>
      <c r="J60" s="2" t="s">
        <v>23</v>
      </c>
      <c r="K60" s="2" t="n">
        <v>0.2</v>
      </c>
      <c r="L60" s="2" t="n">
        <v>0.35</v>
      </c>
      <c r="M60" s="2" t="s">
        <v>443</v>
      </c>
      <c r="N60" s="2" t="s">
        <v>444</v>
      </c>
      <c r="O60" s="2"/>
      <c r="P60" s="2" t="s">
        <v>445</v>
      </c>
      <c r="Q60" s="2" t="s">
        <v>446</v>
      </c>
    </row>
    <row r="61" customFormat="false" ht="23.85" hidden="false" customHeight="false" outlineLevel="0" collapsed="false">
      <c r="A61" s="2" t="s">
        <v>447</v>
      </c>
      <c r="B61" s="2" t="s">
        <v>401</v>
      </c>
      <c r="C61" s="2" t="s">
        <v>204</v>
      </c>
      <c r="D61" s="2" t="s">
        <v>448</v>
      </c>
      <c r="E61" s="2" t="s">
        <v>420</v>
      </c>
      <c r="F61" s="2" t="s">
        <v>412</v>
      </c>
      <c r="G61" s="2" t="n">
        <v>1</v>
      </c>
      <c r="H61" s="2" t="s">
        <v>32</v>
      </c>
      <c r="I61" s="2" t="s">
        <v>449</v>
      </c>
      <c r="J61" s="2" t="s">
        <v>25</v>
      </c>
      <c r="K61" s="2" t="n">
        <v>0.85</v>
      </c>
      <c r="L61" s="2" t="n">
        <v>0.95</v>
      </c>
      <c r="M61" s="2" t="s">
        <v>450</v>
      </c>
      <c r="N61" s="2" t="s">
        <v>451</v>
      </c>
      <c r="O61" s="2"/>
      <c r="P61" s="2" t="s">
        <v>452</v>
      </c>
      <c r="Q61" s="2" t="s">
        <v>453</v>
      </c>
    </row>
    <row r="62" customFormat="false" ht="23.85" hidden="false" customHeight="false" outlineLevel="0" collapsed="false">
      <c r="A62" s="2" t="s">
        <v>454</v>
      </c>
      <c r="B62" s="2" t="s">
        <v>401</v>
      </c>
      <c r="C62" s="2" t="s">
        <v>307</v>
      </c>
      <c r="D62" s="2" t="s">
        <v>455</v>
      </c>
      <c r="E62" s="2" t="s">
        <v>456</v>
      </c>
      <c r="F62" s="2" t="s">
        <v>412</v>
      </c>
      <c r="G62" s="2" t="n">
        <v>1</v>
      </c>
      <c r="H62" s="2" t="s">
        <v>23</v>
      </c>
      <c r="I62" s="2" t="s">
        <v>457</v>
      </c>
      <c r="J62" s="2" t="s">
        <v>25</v>
      </c>
      <c r="K62" s="2" t="n">
        <v>0.75</v>
      </c>
      <c r="L62" s="2" t="n">
        <v>0.9</v>
      </c>
      <c r="M62" s="2" t="s">
        <v>458</v>
      </c>
      <c r="N62" s="2" t="s">
        <v>459</v>
      </c>
      <c r="O62" s="2"/>
      <c r="P62" s="2" t="s">
        <v>416</v>
      </c>
      <c r="Q62" s="2" t="s">
        <v>460</v>
      </c>
    </row>
    <row r="63" customFormat="false" ht="23.85" hidden="false" customHeight="false" outlineLevel="0" collapsed="false">
      <c r="A63" s="2" t="s">
        <v>461</v>
      </c>
      <c r="B63" s="2" t="s">
        <v>401</v>
      </c>
      <c r="C63" s="2" t="s">
        <v>18</v>
      </c>
      <c r="D63" s="2" t="s">
        <v>462</v>
      </c>
      <c r="E63" s="2" t="s">
        <v>420</v>
      </c>
      <c r="F63" s="2" t="s">
        <v>412</v>
      </c>
      <c r="G63" s="2" t="n">
        <v>1</v>
      </c>
      <c r="H63" s="2" t="s">
        <v>23</v>
      </c>
      <c r="I63" s="2" t="s">
        <v>463</v>
      </c>
      <c r="J63" s="2" t="s">
        <v>25</v>
      </c>
      <c r="K63" s="2" t="n">
        <v>0.55</v>
      </c>
      <c r="L63" s="2" t="n">
        <v>0.75</v>
      </c>
      <c r="M63" s="2" t="s">
        <v>464</v>
      </c>
      <c r="N63" s="2" t="s">
        <v>107</v>
      </c>
      <c r="O63" s="2"/>
      <c r="P63" s="2" t="s">
        <v>416</v>
      </c>
      <c r="Q63" s="2" t="s">
        <v>465</v>
      </c>
    </row>
    <row r="64" customFormat="false" ht="23.85" hidden="false" customHeight="false" outlineLevel="0" collapsed="false">
      <c r="A64" s="2" t="s">
        <v>466</v>
      </c>
      <c r="B64" s="2" t="s">
        <v>401</v>
      </c>
      <c r="C64" s="2" t="s">
        <v>135</v>
      </c>
      <c r="D64" s="2" t="s">
        <v>467</v>
      </c>
      <c r="E64" s="2" t="s">
        <v>420</v>
      </c>
      <c r="F64" s="2" t="s">
        <v>404</v>
      </c>
      <c r="G64" s="2" t="n">
        <v>0</v>
      </c>
      <c r="H64" s="2" t="s">
        <v>32</v>
      </c>
      <c r="I64" s="2" t="s">
        <v>468</v>
      </c>
      <c r="J64" s="2" t="s">
        <v>23</v>
      </c>
      <c r="K64" s="2" t="n">
        <v>0.02</v>
      </c>
      <c r="L64" s="2" t="n">
        <v>0.08</v>
      </c>
      <c r="M64" s="2" t="s">
        <v>469</v>
      </c>
      <c r="N64" s="2" t="s">
        <v>470</v>
      </c>
      <c r="O64" s="2"/>
      <c r="P64" s="2" t="s">
        <v>471</v>
      </c>
      <c r="Q64" s="2" t="s">
        <v>430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6" min="5" style="0" width="15"/>
    <col collapsed="false" customWidth="true" hidden="false" outlineLevel="0" max="7" min="7" style="0" width="30"/>
    <col collapsed="false" customWidth="true" hidden="false" outlineLevel="0" max="8" min="8" style="0" width="35"/>
    <col collapsed="false" customWidth="true" hidden="false" outlineLevel="0" max="9" min="9" style="0" width="55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472</v>
      </c>
      <c r="B1" s="1" t="s">
        <v>473</v>
      </c>
      <c r="C1" s="1" t="s">
        <v>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8</v>
      </c>
      <c r="J1" s="1" t="s">
        <v>16</v>
      </c>
    </row>
    <row r="2" customFormat="false" ht="23.85" hidden="false" customHeight="false" outlineLevel="0" collapsed="false">
      <c r="A2" s="2" t="s">
        <v>479</v>
      </c>
      <c r="B2" s="2" t="s">
        <v>480</v>
      </c>
      <c r="C2" s="2" t="s">
        <v>481</v>
      </c>
      <c r="D2" s="2" t="s">
        <v>482</v>
      </c>
      <c r="E2" s="2" t="n">
        <v>0.01</v>
      </c>
      <c r="F2" s="2" t="n">
        <v>1</v>
      </c>
      <c r="G2" s="2" t="s">
        <v>483</v>
      </c>
      <c r="H2" s="2" t="s">
        <v>484</v>
      </c>
      <c r="I2" s="2" t="s">
        <v>485</v>
      </c>
      <c r="J2" s="2" t="s">
        <v>486</v>
      </c>
    </row>
    <row r="3" customFormat="false" ht="23.85" hidden="false" customHeight="false" outlineLevel="0" collapsed="false">
      <c r="A3" s="2" t="s">
        <v>487</v>
      </c>
      <c r="B3" s="2" t="s">
        <v>480</v>
      </c>
      <c r="C3" s="2" t="s">
        <v>488</v>
      </c>
      <c r="D3" s="2" t="s">
        <v>489</v>
      </c>
      <c r="E3" s="2" t="n">
        <v>0.15</v>
      </c>
      <c r="F3" s="2" t="n">
        <v>2</v>
      </c>
      <c r="G3" s="2" t="s">
        <v>490</v>
      </c>
      <c r="H3" s="2" t="s">
        <v>491</v>
      </c>
      <c r="I3" s="2" t="s">
        <v>492</v>
      </c>
      <c r="J3" s="2" t="s">
        <v>493</v>
      </c>
    </row>
    <row r="4" customFormat="false" ht="35.05" hidden="false" customHeight="false" outlineLevel="0" collapsed="false">
      <c r="A4" s="2" t="s">
        <v>494</v>
      </c>
      <c r="B4" s="2" t="s">
        <v>495</v>
      </c>
      <c r="C4" s="2" t="s">
        <v>496</v>
      </c>
      <c r="D4" s="2" t="s">
        <v>497</v>
      </c>
      <c r="E4" s="2" t="n">
        <v>0.2</v>
      </c>
      <c r="F4" s="2" t="n">
        <v>2</v>
      </c>
      <c r="G4" s="2" t="s">
        <v>498</v>
      </c>
      <c r="H4" s="2" t="s">
        <v>499</v>
      </c>
      <c r="I4" s="2" t="s">
        <v>500</v>
      </c>
      <c r="J4" s="2" t="s">
        <v>501</v>
      </c>
    </row>
    <row r="5" customFormat="false" ht="35.05" hidden="false" customHeight="false" outlineLevel="0" collapsed="false">
      <c r="A5" s="2" t="s">
        <v>502</v>
      </c>
      <c r="B5" s="2" t="s">
        <v>495</v>
      </c>
      <c r="C5" s="2" t="s">
        <v>503</v>
      </c>
      <c r="D5" s="2" t="s">
        <v>504</v>
      </c>
      <c r="E5" s="2" t="n">
        <v>0.18</v>
      </c>
      <c r="F5" s="2" t="n">
        <v>2</v>
      </c>
      <c r="G5" s="2" t="s">
        <v>505</v>
      </c>
      <c r="H5" s="2" t="s">
        <v>506</v>
      </c>
      <c r="I5" s="2" t="s">
        <v>507</v>
      </c>
      <c r="J5" s="2" t="s">
        <v>508</v>
      </c>
    </row>
    <row r="6" customFormat="false" ht="35.05" hidden="false" customHeight="false" outlineLevel="0" collapsed="false">
      <c r="A6" s="2" t="s">
        <v>509</v>
      </c>
      <c r="B6" s="2" t="s">
        <v>510</v>
      </c>
      <c r="C6" s="2" t="s">
        <v>511</v>
      </c>
      <c r="D6" s="2" t="s">
        <v>512</v>
      </c>
      <c r="E6" s="2" t="n">
        <v>0.15</v>
      </c>
      <c r="F6" s="2" t="n">
        <v>2</v>
      </c>
      <c r="G6" s="2" t="s">
        <v>513</v>
      </c>
      <c r="H6" s="2" t="s">
        <v>514</v>
      </c>
      <c r="I6" s="2" t="s">
        <v>515</v>
      </c>
      <c r="J6" s="2" t="s">
        <v>516</v>
      </c>
    </row>
    <row r="7" customFormat="false" ht="23.85" hidden="false" customHeight="false" outlineLevel="0" collapsed="false">
      <c r="A7" s="2" t="s">
        <v>517</v>
      </c>
      <c r="B7" s="2" t="s">
        <v>510</v>
      </c>
      <c r="C7" s="2" t="s">
        <v>518</v>
      </c>
      <c r="D7" s="2" t="s">
        <v>519</v>
      </c>
      <c r="E7" s="2" t="n">
        <v>0.12</v>
      </c>
      <c r="F7" s="2" t="n">
        <v>2</v>
      </c>
      <c r="G7" s="2" t="s">
        <v>520</v>
      </c>
      <c r="H7" s="2" t="s">
        <v>521</v>
      </c>
      <c r="I7" s="2" t="s">
        <v>522</v>
      </c>
      <c r="J7" s="2" t="s">
        <v>523</v>
      </c>
    </row>
    <row r="8" customFormat="false" ht="35.05" hidden="false" customHeight="false" outlineLevel="0" collapsed="false">
      <c r="A8" s="2" t="s">
        <v>524</v>
      </c>
      <c r="B8" s="2" t="s">
        <v>525</v>
      </c>
      <c r="C8" s="2" t="s">
        <v>526</v>
      </c>
      <c r="D8" s="2" t="s">
        <v>527</v>
      </c>
      <c r="E8" s="2" t="n">
        <v>0.2</v>
      </c>
      <c r="F8" s="2" t="n">
        <v>3</v>
      </c>
      <c r="G8" s="2" t="s">
        <v>528</v>
      </c>
      <c r="H8" s="2" t="s">
        <v>529</v>
      </c>
      <c r="I8" s="2" t="s">
        <v>530</v>
      </c>
      <c r="J8" s="2" t="s">
        <v>531</v>
      </c>
    </row>
    <row r="9" customFormat="false" ht="35.05" hidden="false" customHeight="false" outlineLevel="0" collapsed="false">
      <c r="A9" s="2" t="s">
        <v>532</v>
      </c>
      <c r="B9" s="2" t="s">
        <v>533</v>
      </c>
      <c r="C9" s="2" t="s">
        <v>534</v>
      </c>
      <c r="D9" s="2" t="s">
        <v>535</v>
      </c>
      <c r="E9" s="2" t="n">
        <v>0.15</v>
      </c>
      <c r="F9" s="2" t="n">
        <v>2</v>
      </c>
      <c r="G9" s="2" t="s">
        <v>536</v>
      </c>
      <c r="H9" s="2" t="s">
        <v>537</v>
      </c>
      <c r="I9" s="2" t="s">
        <v>538</v>
      </c>
      <c r="J9" s="2" t="s">
        <v>539</v>
      </c>
    </row>
    <row r="10" customFormat="false" ht="23.85" hidden="false" customHeight="false" outlineLevel="0" collapsed="false">
      <c r="A10" s="2" t="s">
        <v>540</v>
      </c>
      <c r="B10" s="2" t="s">
        <v>533</v>
      </c>
      <c r="C10" s="2" t="s">
        <v>541</v>
      </c>
      <c r="D10" s="2" t="s">
        <v>542</v>
      </c>
      <c r="E10" s="2" t="n">
        <v>0.1</v>
      </c>
      <c r="F10" s="2" t="n">
        <v>2</v>
      </c>
      <c r="G10" s="2" t="s">
        <v>543</v>
      </c>
      <c r="H10" s="2" t="s">
        <v>544</v>
      </c>
      <c r="I10" s="2" t="s">
        <v>545</v>
      </c>
      <c r="J10" s="2" t="s">
        <v>546</v>
      </c>
    </row>
    <row r="11" customFormat="false" ht="23.85" hidden="false" customHeight="false" outlineLevel="0" collapsed="false">
      <c r="A11" s="2" t="s">
        <v>547</v>
      </c>
      <c r="B11" s="2" t="s">
        <v>548</v>
      </c>
      <c r="C11" s="2" t="s">
        <v>549</v>
      </c>
      <c r="D11" s="2" t="s">
        <v>550</v>
      </c>
      <c r="E11" s="2" t="n">
        <v>0.15</v>
      </c>
      <c r="F11" s="2" t="n">
        <v>2</v>
      </c>
      <c r="G11" s="2" t="s">
        <v>551</v>
      </c>
      <c r="H11" s="2" t="s">
        <v>552</v>
      </c>
      <c r="I11" s="2" t="s">
        <v>553</v>
      </c>
      <c r="J11" s="2" t="s">
        <v>554</v>
      </c>
    </row>
    <row r="12" customFormat="false" ht="35.05" hidden="false" customHeight="false" outlineLevel="0" collapsed="false">
      <c r="A12" s="2" t="s">
        <v>555</v>
      </c>
      <c r="B12" s="2" t="s">
        <v>556</v>
      </c>
      <c r="C12" s="2" t="s">
        <v>557</v>
      </c>
      <c r="D12" s="2" t="s">
        <v>558</v>
      </c>
      <c r="E12" s="2" t="n">
        <v>0.1</v>
      </c>
      <c r="F12" s="2" t="n">
        <v>3</v>
      </c>
      <c r="G12" s="2" t="s">
        <v>559</v>
      </c>
      <c r="H12" s="2" t="s">
        <v>560</v>
      </c>
      <c r="I12" s="2" t="s">
        <v>561</v>
      </c>
      <c r="J12" s="2" t="s">
        <v>562</v>
      </c>
    </row>
    <row r="13" customFormat="false" ht="23.85" hidden="false" customHeight="false" outlineLevel="0" collapsed="false">
      <c r="A13" s="2" t="s">
        <v>563</v>
      </c>
      <c r="B13" s="2" t="s">
        <v>564</v>
      </c>
      <c r="C13" s="2" t="s">
        <v>565</v>
      </c>
      <c r="D13" s="2" t="s">
        <v>566</v>
      </c>
      <c r="E13" s="2" t="n">
        <v>0.01</v>
      </c>
      <c r="F13" s="2" t="n">
        <v>1</v>
      </c>
      <c r="G13" s="2" t="s">
        <v>567</v>
      </c>
      <c r="H13" s="2" t="s">
        <v>568</v>
      </c>
      <c r="I13" s="2" t="s">
        <v>569</v>
      </c>
      <c r="J13" s="2" t="s">
        <v>570</v>
      </c>
    </row>
    <row r="14" customFormat="false" ht="46.25" hidden="false" customHeight="false" outlineLevel="0" collapsed="false">
      <c r="A14" s="2" t="s">
        <v>571</v>
      </c>
      <c r="B14" s="2" t="s">
        <v>572</v>
      </c>
      <c r="C14" s="2" t="s">
        <v>573</v>
      </c>
      <c r="D14" s="2" t="s">
        <v>574</v>
      </c>
      <c r="E14" s="2" t="n">
        <v>0.15</v>
      </c>
      <c r="F14" s="2" t="n">
        <v>2</v>
      </c>
      <c r="G14" s="2" t="s">
        <v>575</v>
      </c>
      <c r="H14" s="2" t="s">
        <v>576</v>
      </c>
      <c r="I14" s="2" t="s">
        <v>577</v>
      </c>
      <c r="J14" s="2" t="s">
        <v>578</v>
      </c>
    </row>
    <row r="15" customFormat="false" ht="35.05" hidden="false" customHeight="false" outlineLevel="0" collapsed="false">
      <c r="A15" s="2" t="s">
        <v>579</v>
      </c>
      <c r="B15" s="2" t="s">
        <v>580</v>
      </c>
      <c r="C15" s="2" t="s">
        <v>581</v>
      </c>
      <c r="D15" s="2" t="s">
        <v>582</v>
      </c>
      <c r="E15" s="2" t="n">
        <v>0.12</v>
      </c>
      <c r="F15" s="2" t="n">
        <v>2</v>
      </c>
      <c r="G15" s="2" t="s">
        <v>583</v>
      </c>
      <c r="H15" s="2" t="s">
        <v>584</v>
      </c>
      <c r="I15" s="2" t="s">
        <v>585</v>
      </c>
      <c r="J15" s="2" t="s">
        <v>586</v>
      </c>
    </row>
    <row r="16" customFormat="false" ht="35.05" hidden="false" customHeight="false" outlineLevel="0" collapsed="false">
      <c r="A16" s="2" t="s">
        <v>587</v>
      </c>
      <c r="B16" s="2" t="s">
        <v>588</v>
      </c>
      <c r="C16" s="2" t="s">
        <v>589</v>
      </c>
      <c r="D16" s="2" t="s">
        <v>590</v>
      </c>
      <c r="E16" s="2" t="n">
        <v>0.15</v>
      </c>
      <c r="F16" s="2" t="n">
        <v>2</v>
      </c>
      <c r="G16" s="2" t="s">
        <v>591</v>
      </c>
      <c r="H16" s="2" t="s">
        <v>592</v>
      </c>
      <c r="I16" s="2" t="s">
        <v>593</v>
      </c>
      <c r="J16" s="2" t="s">
        <v>594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7" min="5" style="0" width="15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" t="s">
        <v>595</v>
      </c>
      <c r="B1" s="1" t="s">
        <v>596</v>
      </c>
      <c r="C1" s="1" t="s">
        <v>3</v>
      </c>
      <c r="D1" s="1" t="s">
        <v>597</v>
      </c>
      <c r="E1" s="1" t="s">
        <v>598</v>
      </c>
      <c r="F1" s="1" t="s">
        <v>599</v>
      </c>
      <c r="G1" s="1" t="s">
        <v>1</v>
      </c>
      <c r="H1" s="1" t="s">
        <v>16</v>
      </c>
    </row>
    <row r="2" customFormat="false" ht="15" hidden="false" customHeight="false" outlineLevel="0" collapsed="false">
      <c r="A2" s="2" t="s">
        <v>600</v>
      </c>
      <c r="B2" s="2" t="s">
        <v>601</v>
      </c>
      <c r="C2" s="2" t="s">
        <v>602</v>
      </c>
      <c r="D2" s="2" t="s">
        <v>404</v>
      </c>
      <c r="E2" s="2" t="n">
        <v>0.02</v>
      </c>
      <c r="F2" s="2" t="n">
        <v>0.01</v>
      </c>
      <c r="G2" s="2" t="s">
        <v>135</v>
      </c>
      <c r="H2" s="2" t="s">
        <v>603</v>
      </c>
    </row>
    <row r="3" customFormat="false" ht="15" hidden="false" customHeight="false" outlineLevel="0" collapsed="false">
      <c r="A3" s="2" t="s">
        <v>600</v>
      </c>
      <c r="B3" s="2" t="s">
        <v>601</v>
      </c>
      <c r="C3" s="2" t="s">
        <v>604</v>
      </c>
      <c r="D3" s="2" t="s">
        <v>404</v>
      </c>
      <c r="E3" s="2" t="n">
        <v>0.01</v>
      </c>
      <c r="F3" s="2" t="n">
        <v>0.01</v>
      </c>
      <c r="G3" s="2" t="s">
        <v>605</v>
      </c>
      <c r="H3" s="2" t="s">
        <v>603</v>
      </c>
    </row>
    <row r="4" customFormat="false" ht="15" hidden="false" customHeight="false" outlineLevel="0" collapsed="false">
      <c r="A4" s="2" t="s">
        <v>600</v>
      </c>
      <c r="B4" s="2" t="s">
        <v>601</v>
      </c>
      <c r="C4" s="2" t="s">
        <v>606</v>
      </c>
      <c r="D4" s="2" t="s">
        <v>404</v>
      </c>
      <c r="E4" s="2" t="n">
        <v>0.03</v>
      </c>
      <c r="F4" s="2" t="n">
        <v>0.01</v>
      </c>
      <c r="G4" s="2" t="s">
        <v>87</v>
      </c>
      <c r="H4" s="2" t="s">
        <v>607</v>
      </c>
    </row>
    <row r="5" customFormat="false" ht="15" hidden="false" customHeight="false" outlineLevel="0" collapsed="false">
      <c r="A5" s="2" t="s">
        <v>600</v>
      </c>
      <c r="B5" s="2" t="s">
        <v>601</v>
      </c>
      <c r="C5" s="2" t="s">
        <v>608</v>
      </c>
      <c r="D5" s="2" t="s">
        <v>404</v>
      </c>
      <c r="E5" s="2" t="n">
        <v>0.02</v>
      </c>
      <c r="F5" s="2" t="n">
        <v>0.01</v>
      </c>
      <c r="G5" s="2" t="s">
        <v>307</v>
      </c>
      <c r="H5" s="2" t="s">
        <v>609</v>
      </c>
    </row>
    <row r="6" customFormat="false" ht="23.85" hidden="false" customHeight="false" outlineLevel="0" collapsed="false">
      <c r="A6" s="2" t="s">
        <v>600</v>
      </c>
      <c r="B6" s="2" t="s">
        <v>601</v>
      </c>
      <c r="C6" s="2" t="s">
        <v>610</v>
      </c>
      <c r="D6" s="2" t="s">
        <v>404</v>
      </c>
      <c r="E6" s="2" t="n">
        <v>0.01</v>
      </c>
      <c r="F6" s="2" t="n">
        <v>0.01</v>
      </c>
      <c r="G6" s="2" t="s">
        <v>341</v>
      </c>
      <c r="H6" s="2" t="s">
        <v>611</v>
      </c>
    </row>
    <row r="7" customFormat="false" ht="15" hidden="false" customHeight="false" outlineLevel="0" collapsed="false">
      <c r="A7" s="2" t="s">
        <v>612</v>
      </c>
      <c r="B7" s="2" t="s">
        <v>613</v>
      </c>
      <c r="C7" s="2" t="s">
        <v>614</v>
      </c>
      <c r="D7" s="2" t="s">
        <v>22</v>
      </c>
      <c r="E7" s="2" t="n">
        <v>0.18</v>
      </c>
      <c r="F7" s="2" t="n">
        <v>0.15</v>
      </c>
      <c r="G7" s="2" t="s">
        <v>170</v>
      </c>
      <c r="H7" s="2" t="s">
        <v>615</v>
      </c>
    </row>
    <row r="8" customFormat="false" ht="15" hidden="false" customHeight="false" outlineLevel="0" collapsed="false">
      <c r="A8" s="2" t="s">
        <v>612</v>
      </c>
      <c r="B8" s="2" t="s">
        <v>613</v>
      </c>
      <c r="C8" s="2" t="s">
        <v>616</v>
      </c>
      <c r="D8" s="2" t="s">
        <v>22</v>
      </c>
      <c r="E8" s="2" t="n">
        <v>0.25</v>
      </c>
      <c r="F8" s="2" t="n">
        <v>0.19</v>
      </c>
      <c r="G8" s="2" t="s">
        <v>18</v>
      </c>
      <c r="H8" s="2" t="s">
        <v>617</v>
      </c>
    </row>
    <row r="9" customFormat="false" ht="15" hidden="false" customHeight="false" outlineLevel="0" collapsed="false">
      <c r="A9" s="2" t="s">
        <v>612</v>
      </c>
      <c r="B9" s="2" t="s">
        <v>613</v>
      </c>
      <c r="C9" s="2" t="s">
        <v>618</v>
      </c>
      <c r="D9" s="2" t="s">
        <v>22</v>
      </c>
      <c r="E9" s="2" t="n">
        <v>0.2</v>
      </c>
      <c r="F9" s="2" t="n">
        <v>0.16</v>
      </c>
      <c r="G9" s="2" t="s">
        <v>619</v>
      </c>
      <c r="H9" s="2" t="s">
        <v>620</v>
      </c>
    </row>
    <row r="10" customFormat="false" ht="15" hidden="false" customHeight="false" outlineLevel="0" collapsed="false">
      <c r="A10" s="2" t="s">
        <v>612</v>
      </c>
      <c r="B10" s="2" t="s">
        <v>613</v>
      </c>
      <c r="C10" s="2" t="s">
        <v>621</v>
      </c>
      <c r="D10" s="2" t="s">
        <v>22</v>
      </c>
      <c r="E10" s="2" t="n">
        <v>0.22</v>
      </c>
      <c r="F10" s="2" t="n">
        <v>0.17</v>
      </c>
      <c r="G10" s="2" t="s">
        <v>622</v>
      </c>
      <c r="H10" s="2" t="s">
        <v>623</v>
      </c>
    </row>
    <row r="11" customFormat="false" ht="15" hidden="false" customHeight="false" outlineLevel="0" collapsed="false">
      <c r="A11" s="2" t="s">
        <v>612</v>
      </c>
      <c r="B11" s="2" t="s">
        <v>613</v>
      </c>
      <c r="C11" s="2" t="s">
        <v>624</v>
      </c>
      <c r="D11" s="2" t="s">
        <v>22</v>
      </c>
      <c r="E11" s="2" t="n">
        <v>0.25</v>
      </c>
      <c r="F11" s="2" t="n">
        <v>0.19</v>
      </c>
      <c r="G11" s="2" t="s">
        <v>135</v>
      </c>
      <c r="H11" s="2" t="s">
        <v>625</v>
      </c>
    </row>
    <row r="12" customFormat="false" ht="15" hidden="false" customHeight="false" outlineLevel="0" collapsed="false">
      <c r="A12" s="2" t="s">
        <v>626</v>
      </c>
      <c r="B12" s="2" t="s">
        <v>627</v>
      </c>
      <c r="C12" s="2" t="s">
        <v>628</v>
      </c>
      <c r="D12" s="2" t="s">
        <v>22</v>
      </c>
      <c r="E12" s="2" t="n">
        <v>0.4</v>
      </c>
      <c r="F12" s="2" t="n">
        <v>0.24</v>
      </c>
      <c r="G12" s="2" t="s">
        <v>18</v>
      </c>
      <c r="H12" s="2" t="s">
        <v>629</v>
      </c>
    </row>
    <row r="13" customFormat="false" ht="15" hidden="false" customHeight="false" outlineLevel="0" collapsed="false">
      <c r="A13" s="2" t="s">
        <v>626</v>
      </c>
      <c r="B13" s="2" t="s">
        <v>627</v>
      </c>
      <c r="C13" s="2" t="s">
        <v>630</v>
      </c>
      <c r="D13" s="2" t="s">
        <v>22</v>
      </c>
      <c r="E13" s="2" t="n">
        <v>0.35</v>
      </c>
      <c r="F13" s="2" t="n">
        <v>0.23</v>
      </c>
      <c r="G13" s="2" t="s">
        <v>204</v>
      </c>
      <c r="H13" s="2" t="s">
        <v>631</v>
      </c>
    </row>
    <row r="14" customFormat="false" ht="15" hidden="false" customHeight="false" outlineLevel="0" collapsed="false">
      <c r="A14" s="2" t="s">
        <v>626</v>
      </c>
      <c r="B14" s="2" t="s">
        <v>627</v>
      </c>
      <c r="C14" s="2" t="s">
        <v>632</v>
      </c>
      <c r="D14" s="2" t="s">
        <v>22</v>
      </c>
      <c r="E14" s="2" t="n">
        <v>0.45</v>
      </c>
      <c r="F14" s="2" t="n">
        <v>0.25</v>
      </c>
      <c r="G14" s="2" t="s">
        <v>619</v>
      </c>
      <c r="H14" s="2" t="s">
        <v>633</v>
      </c>
    </row>
    <row r="15" customFormat="false" ht="15" hidden="false" customHeight="false" outlineLevel="0" collapsed="false">
      <c r="A15" s="2" t="s">
        <v>626</v>
      </c>
      <c r="B15" s="2" t="s">
        <v>627</v>
      </c>
      <c r="C15" s="2" t="s">
        <v>634</v>
      </c>
      <c r="D15" s="2" t="s">
        <v>22</v>
      </c>
      <c r="E15" s="2" t="n">
        <v>0.38</v>
      </c>
      <c r="F15" s="2" t="n">
        <v>0.24</v>
      </c>
      <c r="G15" s="2" t="s">
        <v>18</v>
      </c>
      <c r="H15" s="2" t="s">
        <v>635</v>
      </c>
    </row>
    <row r="16" customFormat="false" ht="15" hidden="false" customHeight="false" outlineLevel="0" collapsed="false">
      <c r="A16" s="2" t="s">
        <v>626</v>
      </c>
      <c r="B16" s="2" t="s">
        <v>627</v>
      </c>
      <c r="C16" s="2" t="s">
        <v>636</v>
      </c>
      <c r="D16" s="2" t="s">
        <v>22</v>
      </c>
      <c r="E16" s="2" t="n">
        <v>0.42</v>
      </c>
      <c r="F16" s="2" t="n">
        <v>0.24</v>
      </c>
      <c r="G16" s="2" t="s">
        <v>204</v>
      </c>
      <c r="H16" s="2" t="s">
        <v>637</v>
      </c>
    </row>
    <row r="17" customFormat="false" ht="15" hidden="false" customHeight="false" outlineLevel="0" collapsed="false">
      <c r="A17" s="2" t="s">
        <v>638</v>
      </c>
      <c r="B17" s="2" t="s">
        <v>639</v>
      </c>
      <c r="C17" s="2" t="s">
        <v>640</v>
      </c>
      <c r="D17" s="2" t="s">
        <v>22</v>
      </c>
      <c r="E17" s="2" t="n">
        <v>0.58</v>
      </c>
      <c r="F17" s="2" t="n">
        <v>0.24</v>
      </c>
      <c r="G17" s="2" t="s">
        <v>204</v>
      </c>
      <c r="H17" s="2" t="s">
        <v>641</v>
      </c>
    </row>
    <row r="18" customFormat="false" ht="15" hidden="false" customHeight="false" outlineLevel="0" collapsed="false">
      <c r="A18" s="2" t="s">
        <v>638</v>
      </c>
      <c r="B18" s="2" t="s">
        <v>639</v>
      </c>
      <c r="C18" s="2" t="s">
        <v>642</v>
      </c>
      <c r="D18" s="2" t="s">
        <v>22</v>
      </c>
      <c r="E18" s="2" t="n">
        <v>0.55</v>
      </c>
      <c r="F18" s="2" t="n">
        <v>0.25</v>
      </c>
      <c r="G18" s="2" t="s">
        <v>204</v>
      </c>
      <c r="H18" s="2" t="s">
        <v>643</v>
      </c>
    </row>
    <row r="19" customFormat="false" ht="15" hidden="false" customHeight="false" outlineLevel="0" collapsed="false">
      <c r="A19" s="2" t="s">
        <v>638</v>
      </c>
      <c r="B19" s="2" t="s">
        <v>639</v>
      </c>
      <c r="C19" s="2" t="s">
        <v>644</v>
      </c>
      <c r="D19" s="2" t="s">
        <v>22</v>
      </c>
      <c r="E19" s="2" t="n">
        <v>0.62</v>
      </c>
      <c r="F19" s="2" t="n">
        <v>0.24</v>
      </c>
      <c r="G19" s="2" t="s">
        <v>619</v>
      </c>
      <c r="H19" s="2" t="s">
        <v>645</v>
      </c>
    </row>
    <row r="20" customFormat="false" ht="23.85" hidden="false" customHeight="false" outlineLevel="0" collapsed="false">
      <c r="A20" s="2" t="s">
        <v>638</v>
      </c>
      <c r="B20" s="2" t="s">
        <v>639</v>
      </c>
      <c r="C20" s="2" t="s">
        <v>646</v>
      </c>
      <c r="D20" s="2" t="s">
        <v>22</v>
      </c>
      <c r="E20" s="2" t="n">
        <v>0.55</v>
      </c>
      <c r="F20" s="2" t="n">
        <v>0.25</v>
      </c>
      <c r="G20" s="2" t="s">
        <v>204</v>
      </c>
      <c r="H20" s="2" t="s">
        <v>647</v>
      </c>
    </row>
    <row r="21" customFormat="false" ht="23.85" hidden="false" customHeight="false" outlineLevel="0" collapsed="false">
      <c r="A21" s="2" t="s">
        <v>638</v>
      </c>
      <c r="B21" s="2" t="s">
        <v>639</v>
      </c>
      <c r="C21" s="2" t="s">
        <v>648</v>
      </c>
      <c r="D21" s="2" t="s">
        <v>22</v>
      </c>
      <c r="E21" s="2" t="n">
        <v>0.6</v>
      </c>
      <c r="F21" s="2" t="n">
        <v>0.24</v>
      </c>
      <c r="G21" s="2" t="s">
        <v>649</v>
      </c>
      <c r="H21" s="2" t="s">
        <v>650</v>
      </c>
    </row>
    <row r="22" customFormat="false" ht="15" hidden="false" customHeight="false" outlineLevel="0" collapsed="false">
      <c r="A22" s="2" t="s">
        <v>651</v>
      </c>
      <c r="B22" s="2" t="s">
        <v>652</v>
      </c>
      <c r="C22" s="2" t="s">
        <v>653</v>
      </c>
      <c r="D22" s="2" t="s">
        <v>22</v>
      </c>
      <c r="E22" s="2" t="n">
        <v>0.97</v>
      </c>
      <c r="F22" s="2" t="n">
        <v>0.01</v>
      </c>
      <c r="G22" s="2" t="s">
        <v>204</v>
      </c>
      <c r="H22" s="2" t="s">
        <v>654</v>
      </c>
    </row>
    <row r="23" customFormat="false" ht="15" hidden="false" customHeight="false" outlineLevel="0" collapsed="false">
      <c r="A23" s="2" t="s">
        <v>651</v>
      </c>
      <c r="B23" s="2" t="s">
        <v>652</v>
      </c>
      <c r="C23" s="2" t="s">
        <v>655</v>
      </c>
      <c r="D23" s="2" t="s">
        <v>22</v>
      </c>
      <c r="E23" s="2" t="n">
        <v>0.82</v>
      </c>
      <c r="F23" s="2" t="n">
        <v>0.15</v>
      </c>
      <c r="G23" s="2" t="s">
        <v>18</v>
      </c>
      <c r="H23" s="2" t="s">
        <v>656</v>
      </c>
    </row>
    <row r="24" customFormat="false" ht="23.85" hidden="false" customHeight="false" outlineLevel="0" collapsed="false">
      <c r="A24" s="2" t="s">
        <v>651</v>
      </c>
      <c r="B24" s="2" t="s">
        <v>652</v>
      </c>
      <c r="C24" s="2" t="s">
        <v>657</v>
      </c>
      <c r="D24" s="2" t="s">
        <v>22</v>
      </c>
      <c r="E24" s="2" t="n">
        <v>0.95</v>
      </c>
      <c r="F24" s="2" t="n">
        <v>0.05</v>
      </c>
      <c r="G24" s="2" t="s">
        <v>307</v>
      </c>
      <c r="H24" s="2" t="s">
        <v>658</v>
      </c>
    </row>
    <row r="25" customFormat="false" ht="15" hidden="false" customHeight="false" outlineLevel="0" collapsed="false">
      <c r="A25" s="2" t="s">
        <v>651</v>
      </c>
      <c r="B25" s="2" t="s">
        <v>652</v>
      </c>
      <c r="C25" s="2" t="s">
        <v>659</v>
      </c>
      <c r="D25" s="2" t="s">
        <v>22</v>
      </c>
      <c r="E25" s="2" t="n">
        <v>0.85</v>
      </c>
      <c r="F25" s="2" t="n">
        <v>0.13</v>
      </c>
      <c r="G25" s="2" t="s">
        <v>204</v>
      </c>
      <c r="H25" s="2" t="s">
        <v>660</v>
      </c>
    </row>
    <row r="26" customFormat="false" ht="15" hidden="false" customHeight="false" outlineLevel="0" collapsed="false">
      <c r="A26" s="2" t="s">
        <v>651</v>
      </c>
      <c r="B26" s="2" t="s">
        <v>652</v>
      </c>
      <c r="C26" s="2" t="s">
        <v>661</v>
      </c>
      <c r="D26" s="2" t="s">
        <v>22</v>
      </c>
      <c r="E26" s="2" t="n">
        <v>0.97</v>
      </c>
      <c r="F26" s="2" t="n">
        <v>0.01</v>
      </c>
      <c r="G26" s="2" t="s">
        <v>341</v>
      </c>
      <c r="H26" s="2" t="s">
        <v>662</v>
      </c>
    </row>
    <row r="27" customFormat="false" ht="15" hidden="false" customHeight="false" outlineLevel="0" collapsed="false">
      <c r="A27" s="2" t="s">
        <v>663</v>
      </c>
      <c r="B27" s="2" t="s">
        <v>664</v>
      </c>
      <c r="C27" s="2" t="s">
        <v>665</v>
      </c>
      <c r="D27" s="2" t="s">
        <v>412</v>
      </c>
      <c r="E27" s="2" t="n">
        <v>0.999</v>
      </c>
      <c r="F27" s="2" t="n">
        <v>0</v>
      </c>
      <c r="G27" s="2" t="s">
        <v>307</v>
      </c>
      <c r="H27" s="2" t="s">
        <v>666</v>
      </c>
    </row>
    <row r="28" customFormat="false" ht="23.85" hidden="false" customHeight="false" outlineLevel="0" collapsed="false">
      <c r="A28" s="2" t="s">
        <v>663</v>
      </c>
      <c r="B28" s="2" t="s">
        <v>664</v>
      </c>
      <c r="C28" s="2" t="s">
        <v>667</v>
      </c>
      <c r="D28" s="2" t="s">
        <v>22</v>
      </c>
      <c r="E28" s="2" t="n">
        <v>0.45</v>
      </c>
      <c r="F28" s="2" t="n">
        <v>0.25</v>
      </c>
      <c r="G28" s="2" t="s">
        <v>341</v>
      </c>
      <c r="H28" s="2" t="s">
        <v>668</v>
      </c>
    </row>
    <row r="29" customFormat="false" ht="15" hidden="false" customHeight="false" outlineLevel="0" collapsed="false">
      <c r="A29" s="2" t="s">
        <v>663</v>
      </c>
      <c r="B29" s="2" t="s">
        <v>664</v>
      </c>
      <c r="C29" s="2" t="s">
        <v>669</v>
      </c>
      <c r="D29" s="2" t="s">
        <v>412</v>
      </c>
      <c r="E29" s="2" t="n">
        <v>0.99</v>
      </c>
      <c r="F29" s="2" t="n">
        <v>0</v>
      </c>
      <c r="G29" s="2" t="s">
        <v>622</v>
      </c>
      <c r="H29" s="2" t="s">
        <v>670</v>
      </c>
    </row>
    <row r="30" customFormat="false" ht="15" hidden="false" customHeight="false" outlineLevel="0" collapsed="false">
      <c r="A30" s="2" t="s">
        <v>663</v>
      </c>
      <c r="B30" s="2" t="s">
        <v>664</v>
      </c>
      <c r="C30" s="2" t="s">
        <v>671</v>
      </c>
      <c r="D30" s="2" t="s">
        <v>412</v>
      </c>
      <c r="E30" s="2" t="n">
        <v>0.99</v>
      </c>
      <c r="F30" s="2" t="n">
        <v>0</v>
      </c>
      <c r="G30" s="2" t="s">
        <v>307</v>
      </c>
      <c r="H30" s="2" t="s">
        <v>672</v>
      </c>
    </row>
    <row r="31" customFormat="false" ht="15" hidden="false" customHeight="false" outlineLevel="0" collapsed="false">
      <c r="A31" s="2" t="s">
        <v>663</v>
      </c>
      <c r="B31" s="2" t="s">
        <v>664</v>
      </c>
      <c r="C31" s="2" t="s">
        <v>673</v>
      </c>
      <c r="D31" s="2" t="s">
        <v>22</v>
      </c>
      <c r="E31" s="2" t="n">
        <v>0.92</v>
      </c>
      <c r="F31" s="2" t="n">
        <v>0.07</v>
      </c>
      <c r="G31" s="2" t="s">
        <v>18</v>
      </c>
      <c r="H31" s="2" t="s">
        <v>674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5"/>
    <col collapsed="false" customWidth="true" hidden="false" outlineLevel="0" max="8" min="8" style="0" width="30"/>
    <col collapsed="false" customWidth="true" hidden="false" outlineLevel="0" max="9" min="9" style="0" width="25"/>
    <col collapsed="false" customWidth="true" hidden="false" outlineLevel="0" max="10" min="10" style="0" width="15"/>
  </cols>
  <sheetData>
    <row r="1" customFormat="false" ht="30" hidden="false" customHeight="true" outlineLevel="0" collapsed="false">
      <c r="A1" s="1" t="s">
        <v>675</v>
      </c>
      <c r="B1" s="1" t="s">
        <v>676</v>
      </c>
      <c r="C1" s="1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12</v>
      </c>
      <c r="I1" s="1" t="s">
        <v>682</v>
      </c>
      <c r="J1" s="1" t="s">
        <v>683</v>
      </c>
    </row>
    <row r="2" customFormat="false" ht="23.85" hidden="false" customHeight="false" outlineLevel="0" collapsed="false">
      <c r="A2" s="2" t="s">
        <v>684</v>
      </c>
      <c r="B2" s="2" t="s">
        <v>685</v>
      </c>
      <c r="C2" s="2" t="s">
        <v>686</v>
      </c>
      <c r="D2" s="2" t="n">
        <v>0.3</v>
      </c>
      <c r="E2" s="2" t="s">
        <v>74</v>
      </c>
      <c r="F2" s="2" t="s">
        <v>687</v>
      </c>
      <c r="G2" s="2" t="s">
        <v>688</v>
      </c>
      <c r="H2" s="2" t="s">
        <v>689</v>
      </c>
      <c r="I2" s="2" t="s">
        <v>690</v>
      </c>
      <c r="J2" s="2" t="n">
        <v>0.3</v>
      </c>
    </row>
    <row r="3" customFormat="false" ht="23.85" hidden="false" customHeight="false" outlineLevel="0" collapsed="false">
      <c r="A3" s="2" t="s">
        <v>691</v>
      </c>
      <c r="B3" s="2" t="s">
        <v>692</v>
      </c>
      <c r="C3" s="2" t="s">
        <v>693</v>
      </c>
      <c r="D3" s="2" t="n">
        <v>0.9</v>
      </c>
      <c r="E3" s="2" t="s">
        <v>25</v>
      </c>
      <c r="F3" s="2" t="s">
        <v>694</v>
      </c>
      <c r="G3" s="2" t="s">
        <v>695</v>
      </c>
      <c r="H3" s="2" t="s">
        <v>696</v>
      </c>
      <c r="I3" s="2" t="s">
        <v>697</v>
      </c>
      <c r="J3" s="2" t="n">
        <v>0.2</v>
      </c>
    </row>
    <row r="4" customFormat="false" ht="23.85" hidden="false" customHeight="false" outlineLevel="0" collapsed="false">
      <c r="A4" s="2" t="s">
        <v>698</v>
      </c>
      <c r="B4" s="2" t="s">
        <v>699</v>
      </c>
      <c r="C4" s="2" t="s">
        <v>700</v>
      </c>
      <c r="D4" s="2" t="n">
        <v>0.4</v>
      </c>
      <c r="E4" s="2" t="s">
        <v>23</v>
      </c>
      <c r="F4" s="2" t="s">
        <v>701</v>
      </c>
      <c r="G4" s="2" t="s">
        <v>702</v>
      </c>
      <c r="H4" s="2" t="s">
        <v>703</v>
      </c>
      <c r="I4" s="2" t="s">
        <v>704</v>
      </c>
      <c r="J4" s="2" t="n">
        <v>0.5</v>
      </c>
    </row>
    <row r="5" customFormat="false" ht="23.85" hidden="false" customHeight="false" outlineLevel="0" collapsed="false">
      <c r="A5" s="2" t="s">
        <v>705</v>
      </c>
      <c r="B5" s="2" t="s">
        <v>706</v>
      </c>
      <c r="C5" s="2" t="s">
        <v>707</v>
      </c>
      <c r="D5" s="2" t="n">
        <v>0.5</v>
      </c>
      <c r="E5" s="2" t="s">
        <v>23</v>
      </c>
      <c r="F5" s="2" t="s">
        <v>687</v>
      </c>
      <c r="G5" s="2" t="s">
        <v>708</v>
      </c>
      <c r="H5" s="2" t="s">
        <v>709</v>
      </c>
      <c r="I5" s="2" t="s">
        <v>710</v>
      </c>
      <c r="J5" s="2" t="n">
        <v>0.4</v>
      </c>
    </row>
    <row r="6" customFormat="false" ht="23.85" hidden="false" customHeight="false" outlineLevel="0" collapsed="false">
      <c r="A6" s="2" t="s">
        <v>711</v>
      </c>
      <c r="B6" s="2" t="s">
        <v>712</v>
      </c>
      <c r="C6" s="2" t="s">
        <v>713</v>
      </c>
      <c r="D6" s="2" t="n">
        <v>0.5</v>
      </c>
      <c r="E6" s="2" t="s">
        <v>23</v>
      </c>
      <c r="F6" s="2" t="s">
        <v>687</v>
      </c>
      <c r="G6" s="2" t="s">
        <v>714</v>
      </c>
      <c r="H6" s="2" t="s">
        <v>709</v>
      </c>
      <c r="I6" s="2" t="s">
        <v>715</v>
      </c>
      <c r="J6" s="2" t="n">
        <v>0.4</v>
      </c>
    </row>
    <row r="7" customFormat="false" ht="23.85" hidden="false" customHeight="false" outlineLevel="0" collapsed="false">
      <c r="A7" s="2" t="s">
        <v>716</v>
      </c>
      <c r="B7" s="2" t="s">
        <v>717</v>
      </c>
      <c r="C7" s="2" t="s">
        <v>718</v>
      </c>
      <c r="D7" s="2" t="n">
        <v>0.3</v>
      </c>
      <c r="E7" s="2" t="s">
        <v>74</v>
      </c>
      <c r="F7" s="2" t="s">
        <v>687</v>
      </c>
      <c r="G7" s="2" t="s">
        <v>719</v>
      </c>
      <c r="H7" s="2" t="s">
        <v>720</v>
      </c>
      <c r="I7" s="2" t="s">
        <v>721</v>
      </c>
      <c r="J7" s="2" t="n">
        <v>0.6</v>
      </c>
    </row>
    <row r="8" customFormat="false" ht="23.85" hidden="false" customHeight="false" outlineLevel="0" collapsed="false">
      <c r="A8" s="2" t="s">
        <v>722</v>
      </c>
      <c r="B8" s="2" t="s">
        <v>723</v>
      </c>
      <c r="C8" s="2" t="s">
        <v>724</v>
      </c>
      <c r="D8" s="2" t="n">
        <v>0.9</v>
      </c>
      <c r="E8" s="2" t="s">
        <v>725</v>
      </c>
      <c r="F8" s="2" t="s">
        <v>726</v>
      </c>
      <c r="G8" s="2" t="s">
        <v>727</v>
      </c>
      <c r="H8" s="2" t="s">
        <v>728</v>
      </c>
      <c r="I8" s="2" t="s">
        <v>729</v>
      </c>
      <c r="J8" s="2" t="n">
        <v>0.7</v>
      </c>
    </row>
    <row r="9" customFormat="false" ht="23.85" hidden="false" customHeight="false" outlineLevel="0" collapsed="false">
      <c r="A9" s="2" t="s">
        <v>730</v>
      </c>
      <c r="B9" s="2" t="s">
        <v>731</v>
      </c>
      <c r="C9" s="2" t="s">
        <v>732</v>
      </c>
      <c r="D9" s="2" t="n">
        <v>0.4</v>
      </c>
      <c r="E9" s="2" t="s">
        <v>74</v>
      </c>
      <c r="F9" s="2" t="s">
        <v>701</v>
      </c>
      <c r="G9" s="2" t="s">
        <v>733</v>
      </c>
      <c r="H9" s="2" t="s">
        <v>734</v>
      </c>
      <c r="I9" s="2" t="s">
        <v>735</v>
      </c>
      <c r="J9" s="2" t="n">
        <v>0.4</v>
      </c>
    </row>
    <row r="10" customFormat="false" ht="23.85" hidden="false" customHeight="false" outlineLevel="0" collapsed="false">
      <c r="A10" s="2" t="s">
        <v>736</v>
      </c>
      <c r="B10" s="2" t="s">
        <v>737</v>
      </c>
      <c r="C10" s="2" t="s">
        <v>738</v>
      </c>
      <c r="D10" s="2" t="n">
        <v>0.7</v>
      </c>
      <c r="E10" s="2" t="s">
        <v>25</v>
      </c>
      <c r="F10" s="2" t="s">
        <v>701</v>
      </c>
      <c r="G10" s="2" t="s">
        <v>739</v>
      </c>
      <c r="H10" s="2" t="s">
        <v>740</v>
      </c>
      <c r="I10" s="2" t="s">
        <v>741</v>
      </c>
      <c r="J10" s="2" t="n">
        <v>0.5</v>
      </c>
    </row>
    <row r="11" customFormat="false" ht="23.85" hidden="false" customHeight="false" outlineLevel="0" collapsed="false">
      <c r="A11" s="2" t="s">
        <v>742</v>
      </c>
      <c r="B11" s="2" t="s">
        <v>743</v>
      </c>
      <c r="C11" s="2" t="s">
        <v>744</v>
      </c>
      <c r="D11" s="2" t="n">
        <v>0.5</v>
      </c>
      <c r="E11" s="2" t="s">
        <v>74</v>
      </c>
      <c r="F11" s="2" t="s">
        <v>701</v>
      </c>
      <c r="G11" s="2" t="s">
        <v>745</v>
      </c>
      <c r="H11" s="2" t="s">
        <v>746</v>
      </c>
      <c r="I11" s="2" t="s">
        <v>747</v>
      </c>
      <c r="J11" s="2" t="n">
        <v>0.4</v>
      </c>
    </row>
    <row r="12" customFormat="false" ht="23.85" hidden="false" customHeight="false" outlineLevel="0" collapsed="false">
      <c r="A12" s="2" t="s">
        <v>748</v>
      </c>
      <c r="B12" s="2" t="s">
        <v>749</v>
      </c>
      <c r="C12" s="2" t="s">
        <v>750</v>
      </c>
      <c r="D12" s="2" t="n">
        <v>0.3</v>
      </c>
      <c r="E12" s="2" t="s">
        <v>23</v>
      </c>
      <c r="F12" s="2" t="s">
        <v>687</v>
      </c>
      <c r="G12" s="2" t="s">
        <v>751</v>
      </c>
      <c r="H12" s="2" t="s">
        <v>752</v>
      </c>
      <c r="I12" s="2" t="s">
        <v>753</v>
      </c>
      <c r="J12" s="2" t="n">
        <v>0.5</v>
      </c>
    </row>
    <row r="13" customFormat="false" ht="23.85" hidden="false" customHeight="false" outlineLevel="0" collapsed="false">
      <c r="A13" s="2" t="s">
        <v>754</v>
      </c>
      <c r="B13" s="2" t="s">
        <v>755</v>
      </c>
      <c r="C13" s="2" t="s">
        <v>756</v>
      </c>
      <c r="D13" s="2" t="n">
        <v>0.6</v>
      </c>
      <c r="E13" s="2" t="s">
        <v>23</v>
      </c>
      <c r="F13" s="2" t="s">
        <v>694</v>
      </c>
      <c r="G13" s="2" t="s">
        <v>757</v>
      </c>
      <c r="H13" s="2" t="s">
        <v>758</v>
      </c>
      <c r="I13" s="2" t="s">
        <v>721</v>
      </c>
      <c r="J13" s="2" t="n">
        <v>0.5</v>
      </c>
    </row>
    <row r="14" customFormat="false" ht="23.85" hidden="false" customHeight="false" outlineLevel="0" collapsed="false">
      <c r="A14" s="2" t="s">
        <v>759</v>
      </c>
      <c r="B14" s="2" t="s">
        <v>760</v>
      </c>
      <c r="C14" s="2" t="s">
        <v>761</v>
      </c>
      <c r="D14" s="2" t="n">
        <v>0.3</v>
      </c>
      <c r="E14" s="2" t="s">
        <v>762</v>
      </c>
      <c r="F14" s="2" t="s">
        <v>701</v>
      </c>
      <c r="G14" s="2" t="s">
        <v>763</v>
      </c>
      <c r="H14" s="2" t="s">
        <v>764</v>
      </c>
      <c r="I14" s="2" t="s">
        <v>765</v>
      </c>
      <c r="J14" s="2" t="n">
        <v>0.3</v>
      </c>
    </row>
    <row r="15" customFormat="false" ht="23.85" hidden="false" customHeight="false" outlineLevel="0" collapsed="false">
      <c r="A15" s="2" t="s">
        <v>766</v>
      </c>
      <c r="B15" s="2" t="s">
        <v>767</v>
      </c>
      <c r="C15" s="2" t="s">
        <v>768</v>
      </c>
      <c r="D15" s="2" t="n">
        <v>0.5</v>
      </c>
      <c r="E15" s="2" t="s">
        <v>23</v>
      </c>
      <c r="F15" s="2" t="s">
        <v>687</v>
      </c>
      <c r="G15" s="2" t="s">
        <v>769</v>
      </c>
      <c r="H15" s="2" t="s">
        <v>770</v>
      </c>
      <c r="I15" s="2" t="s">
        <v>721</v>
      </c>
      <c r="J15" s="2" t="n">
        <v>0.5</v>
      </c>
    </row>
    <row r="16" customFormat="false" ht="23.85" hidden="false" customHeight="false" outlineLevel="0" collapsed="false">
      <c r="A16" s="2" t="s">
        <v>771</v>
      </c>
      <c r="B16" s="2" t="s">
        <v>772</v>
      </c>
      <c r="C16" s="2" t="s">
        <v>773</v>
      </c>
      <c r="D16" s="2" t="n">
        <v>0.6</v>
      </c>
      <c r="E16" s="2" t="s">
        <v>23</v>
      </c>
      <c r="F16" s="2" t="s">
        <v>701</v>
      </c>
      <c r="G16" s="2" t="s">
        <v>774</v>
      </c>
      <c r="H16" s="2" t="s">
        <v>775</v>
      </c>
      <c r="I16" s="2" t="s">
        <v>776</v>
      </c>
      <c r="J16" s="2" t="n">
        <v>0.4</v>
      </c>
    </row>
    <row r="17" customFormat="false" ht="23.85" hidden="false" customHeight="false" outlineLevel="0" collapsed="false">
      <c r="A17" s="2" t="s">
        <v>777</v>
      </c>
      <c r="B17" s="2" t="s">
        <v>778</v>
      </c>
      <c r="C17" s="2" t="s">
        <v>779</v>
      </c>
      <c r="D17" s="2" t="n">
        <v>0.4</v>
      </c>
      <c r="E17" s="2" t="s">
        <v>23</v>
      </c>
      <c r="F17" s="2" t="s">
        <v>694</v>
      </c>
      <c r="G17" s="2" t="s">
        <v>780</v>
      </c>
      <c r="H17" s="2" t="s">
        <v>781</v>
      </c>
      <c r="I17" s="2" t="s">
        <v>721</v>
      </c>
      <c r="J17" s="2" t="n">
        <v>0.5</v>
      </c>
    </row>
    <row r="18" customFormat="false" ht="23.85" hidden="false" customHeight="false" outlineLevel="0" collapsed="false">
      <c r="A18" s="2" t="s">
        <v>782</v>
      </c>
      <c r="B18" s="2" t="s">
        <v>783</v>
      </c>
      <c r="C18" s="2" t="s">
        <v>784</v>
      </c>
      <c r="D18" s="2" t="n">
        <v>0.7</v>
      </c>
      <c r="E18" s="2" t="s">
        <v>23</v>
      </c>
      <c r="F18" s="2" t="s">
        <v>687</v>
      </c>
      <c r="G18" s="2" t="s">
        <v>785</v>
      </c>
      <c r="H18" s="2" t="s">
        <v>786</v>
      </c>
      <c r="I18" s="2" t="s">
        <v>721</v>
      </c>
      <c r="J18" s="2" t="n">
        <v>0.3</v>
      </c>
    </row>
    <row r="19" customFormat="false" ht="23.85" hidden="false" customHeight="false" outlineLevel="0" collapsed="false">
      <c r="A19" s="2" t="s">
        <v>787</v>
      </c>
      <c r="B19" s="2" t="s">
        <v>788</v>
      </c>
      <c r="C19" s="2" t="s">
        <v>789</v>
      </c>
      <c r="D19" s="2" t="n">
        <v>0.4</v>
      </c>
      <c r="E19" s="2" t="s">
        <v>74</v>
      </c>
      <c r="F19" s="2" t="s">
        <v>790</v>
      </c>
      <c r="G19" s="2" t="s">
        <v>791</v>
      </c>
      <c r="H19" s="2" t="s">
        <v>792</v>
      </c>
      <c r="I19" s="2" t="s">
        <v>793</v>
      </c>
      <c r="J19" s="2" t="n">
        <v>0.5</v>
      </c>
    </row>
    <row r="20" customFormat="false" ht="23.85" hidden="false" customHeight="false" outlineLevel="0" collapsed="false">
      <c r="A20" s="2" t="s">
        <v>794</v>
      </c>
      <c r="B20" s="2" t="s">
        <v>795</v>
      </c>
      <c r="C20" s="2" t="s">
        <v>796</v>
      </c>
      <c r="D20" s="2" t="n">
        <v>0.4</v>
      </c>
      <c r="E20" s="2" t="s">
        <v>74</v>
      </c>
      <c r="F20" s="2" t="s">
        <v>687</v>
      </c>
      <c r="G20" s="2" t="s">
        <v>797</v>
      </c>
      <c r="H20" s="2" t="s">
        <v>798</v>
      </c>
      <c r="I20" s="2" t="s">
        <v>735</v>
      </c>
      <c r="J20" s="2" t="n">
        <v>0.4</v>
      </c>
    </row>
    <row r="21" customFormat="false" ht="23.85" hidden="false" customHeight="false" outlineLevel="0" collapsed="false">
      <c r="A21" s="2" t="s">
        <v>799</v>
      </c>
      <c r="B21" s="2" t="s">
        <v>800</v>
      </c>
      <c r="C21" s="2" t="s">
        <v>801</v>
      </c>
      <c r="D21" s="2" t="n">
        <v>0.8</v>
      </c>
      <c r="E21" s="2" t="s">
        <v>25</v>
      </c>
      <c r="F21" s="2" t="s">
        <v>694</v>
      </c>
      <c r="G21" s="2" t="s">
        <v>802</v>
      </c>
      <c r="H21" s="2" t="s">
        <v>803</v>
      </c>
      <c r="I21" s="2" t="s">
        <v>804</v>
      </c>
      <c r="J21" s="2" t="n">
        <v>0.7</v>
      </c>
    </row>
    <row r="22" customFormat="false" ht="35.05" hidden="false" customHeight="false" outlineLevel="0" collapsed="false">
      <c r="A22" s="2" t="s">
        <v>805</v>
      </c>
      <c r="B22" s="2" t="s">
        <v>806</v>
      </c>
      <c r="C22" s="2" t="s">
        <v>807</v>
      </c>
      <c r="D22" s="2" t="n">
        <v>0.6</v>
      </c>
      <c r="E22" s="2" t="s">
        <v>23</v>
      </c>
      <c r="F22" s="2" t="s">
        <v>694</v>
      </c>
      <c r="G22" s="2" t="s">
        <v>808</v>
      </c>
      <c r="H22" s="2" t="s">
        <v>809</v>
      </c>
      <c r="I22" s="2" t="s">
        <v>810</v>
      </c>
      <c r="J22" s="2" t="n">
        <v>0.5</v>
      </c>
    </row>
    <row r="23" customFormat="false" ht="35.05" hidden="false" customHeight="false" outlineLevel="0" collapsed="false">
      <c r="A23" s="2" t="s">
        <v>811</v>
      </c>
      <c r="B23" s="2" t="s">
        <v>812</v>
      </c>
      <c r="C23" s="2" t="s">
        <v>813</v>
      </c>
      <c r="D23" s="2" t="n">
        <v>0.5</v>
      </c>
      <c r="E23" s="2" t="s">
        <v>23</v>
      </c>
      <c r="F23" s="2" t="s">
        <v>701</v>
      </c>
      <c r="G23" s="2" t="s">
        <v>814</v>
      </c>
      <c r="H23" s="2" t="s">
        <v>815</v>
      </c>
      <c r="I23" s="2" t="s">
        <v>816</v>
      </c>
      <c r="J23" s="2" t="n">
        <v>0.4</v>
      </c>
    </row>
    <row r="24" customFormat="false" ht="23.85" hidden="false" customHeight="false" outlineLevel="0" collapsed="false">
      <c r="A24" s="2" t="s">
        <v>817</v>
      </c>
      <c r="B24" s="2" t="s">
        <v>818</v>
      </c>
      <c r="C24" s="2" t="s">
        <v>819</v>
      </c>
      <c r="D24" s="2" t="n">
        <v>0.3</v>
      </c>
      <c r="E24" s="2" t="s">
        <v>74</v>
      </c>
      <c r="F24" s="2" t="s">
        <v>694</v>
      </c>
      <c r="G24" s="2" t="s">
        <v>820</v>
      </c>
      <c r="H24" s="2" t="s">
        <v>821</v>
      </c>
      <c r="I24" s="2" t="s">
        <v>822</v>
      </c>
      <c r="J24" s="2" t="n">
        <v>0.3</v>
      </c>
    </row>
    <row r="25" customFormat="false" ht="23.85" hidden="false" customHeight="false" outlineLevel="0" collapsed="false">
      <c r="A25" s="2" t="s">
        <v>823</v>
      </c>
      <c r="B25" s="2" t="s">
        <v>824</v>
      </c>
      <c r="C25" s="2" t="s">
        <v>825</v>
      </c>
      <c r="D25" s="2" t="n">
        <v>0.7</v>
      </c>
      <c r="E25" s="2" t="s">
        <v>74</v>
      </c>
      <c r="F25" s="2" t="s">
        <v>701</v>
      </c>
      <c r="G25" s="2" t="s">
        <v>826</v>
      </c>
      <c r="H25" s="2" t="s">
        <v>827</v>
      </c>
      <c r="I25" s="2" t="s">
        <v>828</v>
      </c>
      <c r="J25" s="2" t="n">
        <v>0.3</v>
      </c>
    </row>
    <row r="26" customFormat="false" ht="23.85" hidden="false" customHeight="false" outlineLevel="0" collapsed="false">
      <c r="A26" s="2" t="s">
        <v>829</v>
      </c>
      <c r="B26" s="2" t="s">
        <v>830</v>
      </c>
      <c r="C26" s="2" t="s">
        <v>831</v>
      </c>
      <c r="D26" s="2" t="n">
        <v>0</v>
      </c>
      <c r="E26" s="2" t="s">
        <v>23</v>
      </c>
      <c r="F26" s="2" t="s">
        <v>687</v>
      </c>
      <c r="G26" s="2" t="s">
        <v>832</v>
      </c>
      <c r="H26" s="2" t="s">
        <v>833</v>
      </c>
      <c r="I26" s="2" t="s">
        <v>721</v>
      </c>
      <c r="J26" s="2" t="n">
        <v>0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60"/>
    <col collapsed="false" customWidth="true" hidden="false" outlineLevel="0" max="8" min="7" style="0" width="15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" t="s">
        <v>472</v>
      </c>
      <c r="B1" s="1" t="s">
        <v>834</v>
      </c>
      <c r="C1" s="1" t="s">
        <v>835</v>
      </c>
      <c r="D1" s="1" t="s">
        <v>9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</row>
    <row r="2" customFormat="false" ht="23.85" hidden="false" customHeight="false" outlineLevel="0" collapsed="false">
      <c r="A2" s="2" t="s">
        <v>841</v>
      </c>
      <c r="B2" s="2" t="s">
        <v>842</v>
      </c>
      <c r="C2" s="2" t="s">
        <v>843</v>
      </c>
      <c r="D2" s="2" t="s">
        <v>844</v>
      </c>
      <c r="E2" s="2" t="s">
        <v>845</v>
      </c>
      <c r="F2" s="2"/>
      <c r="G2" s="2" t="s">
        <v>846</v>
      </c>
      <c r="H2" s="2" t="s">
        <v>847</v>
      </c>
      <c r="I2" s="2" t="s">
        <v>848</v>
      </c>
    </row>
    <row r="3" customFormat="false" ht="15" hidden="false" customHeight="false" outlineLevel="0" collapsed="false">
      <c r="A3" s="2" t="s">
        <v>849</v>
      </c>
      <c r="B3" s="2" t="s">
        <v>842</v>
      </c>
      <c r="C3" s="2" t="s">
        <v>850</v>
      </c>
      <c r="D3" s="2" t="s">
        <v>74</v>
      </c>
      <c r="E3" s="2" t="s">
        <v>851</v>
      </c>
      <c r="F3" s="2" t="s">
        <v>852</v>
      </c>
      <c r="G3" s="2" t="s">
        <v>853</v>
      </c>
      <c r="H3" s="2" t="s">
        <v>854</v>
      </c>
      <c r="I3" s="2" t="s">
        <v>855</v>
      </c>
    </row>
    <row r="4" customFormat="false" ht="46.25" hidden="false" customHeight="false" outlineLevel="0" collapsed="false">
      <c r="A4" s="2" t="s">
        <v>856</v>
      </c>
      <c r="B4" s="2" t="s">
        <v>842</v>
      </c>
      <c r="C4" s="2" t="s">
        <v>857</v>
      </c>
      <c r="D4" s="2" t="s">
        <v>23</v>
      </c>
      <c r="E4" s="2" t="s">
        <v>858</v>
      </c>
      <c r="F4" s="2" t="s">
        <v>859</v>
      </c>
      <c r="G4" s="2" t="s">
        <v>860</v>
      </c>
      <c r="H4" s="2" t="s">
        <v>861</v>
      </c>
      <c r="I4" s="2" t="s">
        <v>862</v>
      </c>
    </row>
    <row r="5" customFormat="false" ht="46.25" hidden="false" customHeight="false" outlineLevel="0" collapsed="false">
      <c r="A5" s="2" t="s">
        <v>863</v>
      </c>
      <c r="B5" s="2" t="s">
        <v>842</v>
      </c>
      <c r="C5" s="2" t="s">
        <v>864</v>
      </c>
      <c r="D5" s="2" t="s">
        <v>865</v>
      </c>
      <c r="E5" s="2" t="s">
        <v>858</v>
      </c>
      <c r="F5" s="2" t="s">
        <v>866</v>
      </c>
      <c r="G5" s="2" t="s">
        <v>867</v>
      </c>
      <c r="H5" s="2" t="s">
        <v>868</v>
      </c>
      <c r="I5" s="2" t="s">
        <v>869</v>
      </c>
    </row>
    <row r="6" customFormat="false" ht="35.05" hidden="false" customHeight="false" outlineLevel="0" collapsed="false">
      <c r="A6" s="2" t="s">
        <v>870</v>
      </c>
      <c r="B6" s="2" t="s">
        <v>842</v>
      </c>
      <c r="C6" s="2" t="s">
        <v>871</v>
      </c>
      <c r="D6" s="2" t="s">
        <v>865</v>
      </c>
      <c r="E6" s="2" t="s">
        <v>858</v>
      </c>
      <c r="F6" s="2" t="s">
        <v>872</v>
      </c>
      <c r="G6" s="2" t="s">
        <v>873</v>
      </c>
      <c r="H6" s="2" t="s">
        <v>868</v>
      </c>
      <c r="I6" s="2" t="s">
        <v>874</v>
      </c>
    </row>
    <row r="7" customFormat="false" ht="46.25" hidden="false" customHeight="false" outlineLevel="0" collapsed="false">
      <c r="A7" s="2" t="s">
        <v>875</v>
      </c>
      <c r="B7" s="2" t="s">
        <v>842</v>
      </c>
      <c r="C7" s="2" t="s">
        <v>876</v>
      </c>
      <c r="D7" s="2" t="s">
        <v>877</v>
      </c>
      <c r="E7" s="2" t="s">
        <v>878</v>
      </c>
      <c r="F7" s="2" t="s">
        <v>879</v>
      </c>
      <c r="G7" s="2" t="s">
        <v>880</v>
      </c>
      <c r="H7" s="2" t="s">
        <v>881</v>
      </c>
      <c r="I7" s="2" t="s">
        <v>882</v>
      </c>
    </row>
    <row r="8" customFormat="false" ht="57.45" hidden="false" customHeight="false" outlineLevel="0" collapsed="false">
      <c r="A8" s="2" t="s">
        <v>883</v>
      </c>
      <c r="B8" s="2" t="s">
        <v>842</v>
      </c>
      <c r="C8" s="2" t="s">
        <v>884</v>
      </c>
      <c r="D8" s="2" t="s">
        <v>885</v>
      </c>
      <c r="E8" s="2" t="s">
        <v>886</v>
      </c>
      <c r="F8" s="2" t="s">
        <v>887</v>
      </c>
      <c r="G8" s="2" t="s">
        <v>888</v>
      </c>
      <c r="H8" s="2" t="s">
        <v>861</v>
      </c>
      <c r="I8" s="2" t="s">
        <v>889</v>
      </c>
    </row>
    <row r="9" customFormat="false" ht="46.25" hidden="false" customHeight="false" outlineLevel="0" collapsed="false">
      <c r="A9" s="2" t="s">
        <v>890</v>
      </c>
      <c r="B9" s="2" t="s">
        <v>842</v>
      </c>
      <c r="C9" s="2" t="s">
        <v>891</v>
      </c>
      <c r="D9" s="2" t="s">
        <v>892</v>
      </c>
      <c r="E9" s="2" t="s">
        <v>858</v>
      </c>
      <c r="F9" s="2" t="s">
        <v>893</v>
      </c>
      <c r="G9" s="2" t="s">
        <v>894</v>
      </c>
      <c r="H9" s="2" t="s">
        <v>895</v>
      </c>
      <c r="I9" s="2" t="s">
        <v>896</v>
      </c>
    </row>
    <row r="10" customFormat="false" ht="35.05" hidden="false" customHeight="false" outlineLevel="0" collapsed="false">
      <c r="A10" s="2" t="s">
        <v>897</v>
      </c>
      <c r="B10" s="2" t="s">
        <v>898</v>
      </c>
      <c r="C10" s="2" t="s">
        <v>899</v>
      </c>
      <c r="D10" s="2" t="s">
        <v>900</v>
      </c>
      <c r="E10" s="2" t="s">
        <v>901</v>
      </c>
      <c r="F10" s="2" t="s">
        <v>902</v>
      </c>
      <c r="G10" s="2" t="s">
        <v>903</v>
      </c>
      <c r="H10" s="2" t="s">
        <v>861</v>
      </c>
      <c r="I10" s="2" t="s">
        <v>904</v>
      </c>
    </row>
    <row r="11" customFormat="false" ht="35.05" hidden="false" customHeight="false" outlineLevel="0" collapsed="false">
      <c r="A11" s="2" t="s">
        <v>905</v>
      </c>
      <c r="B11" s="2" t="s">
        <v>898</v>
      </c>
      <c r="C11" s="2" t="s">
        <v>906</v>
      </c>
      <c r="D11" s="2" t="s">
        <v>900</v>
      </c>
      <c r="E11" s="2" t="s">
        <v>901</v>
      </c>
      <c r="F11" s="2" t="s">
        <v>907</v>
      </c>
      <c r="G11" s="2" t="s">
        <v>908</v>
      </c>
      <c r="H11" s="2" t="s">
        <v>861</v>
      </c>
      <c r="I11" s="2" t="s">
        <v>909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6" min="5" style="0" width="35"/>
    <col collapsed="false" customWidth="true" hidden="false" outlineLevel="0" max="7" min="7" style="0" width="25"/>
    <col collapsed="false" customWidth="true" hidden="false" outlineLevel="0" max="8" min="8" style="0" width="15"/>
  </cols>
  <sheetData>
    <row r="1" customFormat="false" ht="30" hidden="false" customHeight="true" outlineLevel="0" collapsed="false">
      <c r="A1" s="1" t="s">
        <v>910</v>
      </c>
      <c r="B1" s="1" t="s">
        <v>911</v>
      </c>
      <c r="C1" s="1" t="s">
        <v>912</v>
      </c>
      <c r="D1" s="1" t="s">
        <v>913</v>
      </c>
      <c r="E1" s="1" t="s">
        <v>914</v>
      </c>
      <c r="F1" s="1" t="s">
        <v>915</v>
      </c>
      <c r="G1" s="1" t="s">
        <v>916</v>
      </c>
      <c r="H1" s="1" t="s">
        <v>917</v>
      </c>
    </row>
    <row r="2" customFormat="false" ht="23.85" hidden="false" customHeight="false" outlineLevel="0" collapsed="false">
      <c r="A2" s="2" t="s">
        <v>918</v>
      </c>
      <c r="B2" s="2" t="s">
        <v>919</v>
      </c>
      <c r="C2" s="2" t="s">
        <v>920</v>
      </c>
      <c r="D2" s="2" t="s">
        <v>921</v>
      </c>
      <c r="E2" s="2" t="s">
        <v>922</v>
      </c>
      <c r="F2" s="2" t="s">
        <v>923</v>
      </c>
      <c r="G2" s="2" t="s">
        <v>924</v>
      </c>
      <c r="H2" s="2" t="n">
        <v>4</v>
      </c>
    </row>
    <row r="3" customFormat="false" ht="23.85" hidden="false" customHeight="false" outlineLevel="0" collapsed="false">
      <c r="A3" s="2" t="s">
        <v>925</v>
      </c>
      <c r="B3" s="2" t="s">
        <v>926</v>
      </c>
      <c r="C3" s="2" t="s">
        <v>927</v>
      </c>
      <c r="D3" s="2" t="s">
        <v>928</v>
      </c>
      <c r="E3" s="2" t="s">
        <v>929</v>
      </c>
      <c r="F3" s="2" t="s">
        <v>930</v>
      </c>
      <c r="G3" s="2" t="s">
        <v>931</v>
      </c>
      <c r="H3" s="2" t="n">
        <v>5</v>
      </c>
    </row>
    <row r="4" customFormat="false" ht="15" hidden="false" customHeight="false" outlineLevel="0" collapsed="false">
      <c r="A4" s="2" t="s">
        <v>932</v>
      </c>
      <c r="B4" s="2" t="s">
        <v>933</v>
      </c>
      <c r="C4" s="2" t="s">
        <v>934</v>
      </c>
      <c r="D4" s="2" t="s">
        <v>935</v>
      </c>
      <c r="E4" s="2" t="s">
        <v>936</v>
      </c>
      <c r="F4" s="2" t="s">
        <v>937</v>
      </c>
      <c r="G4" s="2" t="s">
        <v>938</v>
      </c>
      <c r="H4" s="2" t="n">
        <v>3</v>
      </c>
    </row>
    <row r="5" customFormat="false" ht="23.85" hidden="false" customHeight="false" outlineLevel="0" collapsed="false">
      <c r="A5" s="2" t="s">
        <v>939</v>
      </c>
      <c r="B5" s="2" t="s">
        <v>940</v>
      </c>
      <c r="C5" s="2" t="s">
        <v>941</v>
      </c>
      <c r="D5" s="2" t="s">
        <v>942</v>
      </c>
      <c r="E5" s="2" t="s">
        <v>943</v>
      </c>
      <c r="F5" s="2" t="s">
        <v>944</v>
      </c>
      <c r="G5" s="2" t="s">
        <v>945</v>
      </c>
      <c r="H5" s="2" t="n">
        <v>1</v>
      </c>
    </row>
    <row r="6" customFormat="false" ht="23.85" hidden="false" customHeight="false" outlineLevel="0" collapsed="false">
      <c r="A6" s="2" t="s">
        <v>946</v>
      </c>
      <c r="B6" s="2" t="s">
        <v>947</v>
      </c>
      <c r="C6" s="2" t="s">
        <v>948</v>
      </c>
      <c r="D6" s="2" t="s">
        <v>949</v>
      </c>
      <c r="E6" s="2" t="s">
        <v>950</v>
      </c>
      <c r="F6" s="2" t="s">
        <v>951</v>
      </c>
      <c r="G6" s="2" t="s">
        <v>952</v>
      </c>
      <c r="H6" s="2" t="n">
        <v>2</v>
      </c>
    </row>
    <row r="7" customFormat="false" ht="23.85" hidden="false" customHeight="false" outlineLevel="0" collapsed="false">
      <c r="A7" s="2" t="s">
        <v>953</v>
      </c>
      <c r="B7" s="2" t="s">
        <v>954</v>
      </c>
      <c r="C7" s="2" t="s">
        <v>955</v>
      </c>
      <c r="D7" s="2" t="s">
        <v>956</v>
      </c>
      <c r="E7" s="2" t="s">
        <v>957</v>
      </c>
      <c r="F7" s="2" t="s">
        <v>958</v>
      </c>
      <c r="G7" s="2" t="s">
        <v>959</v>
      </c>
      <c r="H7" s="2" t="n">
        <v>6</v>
      </c>
    </row>
    <row r="8" customFormat="false" ht="23.85" hidden="false" customHeight="false" outlineLevel="0" collapsed="false">
      <c r="A8" s="2" t="s">
        <v>960</v>
      </c>
      <c r="B8" s="2" t="s">
        <v>961</v>
      </c>
      <c r="C8" s="2" t="s">
        <v>962</v>
      </c>
      <c r="D8" s="2" t="s">
        <v>963</v>
      </c>
      <c r="E8" s="2" t="s">
        <v>964</v>
      </c>
      <c r="F8" s="2" t="s">
        <v>965</v>
      </c>
      <c r="G8" s="2" t="s">
        <v>966</v>
      </c>
      <c r="H8" s="2" t="n">
        <v>3</v>
      </c>
    </row>
    <row r="9" customFormat="false" ht="23.85" hidden="false" customHeight="false" outlineLevel="0" collapsed="false">
      <c r="A9" s="2" t="s">
        <v>967</v>
      </c>
      <c r="B9" s="2" t="s">
        <v>968</v>
      </c>
      <c r="C9" s="2" t="s">
        <v>969</v>
      </c>
      <c r="D9" s="2" t="s">
        <v>970</v>
      </c>
      <c r="E9" s="2" t="s">
        <v>971</v>
      </c>
      <c r="F9" s="2" t="s">
        <v>972</v>
      </c>
      <c r="G9" s="2" t="s">
        <v>973</v>
      </c>
      <c r="H9" s="2" t="n">
        <v>3</v>
      </c>
    </row>
    <row r="10" customFormat="false" ht="23.85" hidden="false" customHeight="false" outlineLevel="0" collapsed="false">
      <c r="A10" s="2" t="s">
        <v>974</v>
      </c>
      <c r="B10" s="2" t="s">
        <v>975</v>
      </c>
      <c r="C10" s="2" t="s">
        <v>976</v>
      </c>
      <c r="D10" s="2" t="s">
        <v>977</v>
      </c>
      <c r="E10" s="2" t="s">
        <v>978</v>
      </c>
      <c r="F10" s="2" t="s">
        <v>979</v>
      </c>
      <c r="G10" s="2" t="s">
        <v>980</v>
      </c>
      <c r="H10" s="2" t="n">
        <v>2</v>
      </c>
    </row>
    <row r="11" customFormat="false" ht="23.85" hidden="false" customHeight="false" outlineLevel="0" collapsed="false">
      <c r="A11" s="2" t="s">
        <v>981</v>
      </c>
      <c r="B11" s="2" t="s">
        <v>982</v>
      </c>
      <c r="C11" s="2" t="s">
        <v>983</v>
      </c>
      <c r="D11" s="2" t="s">
        <v>984</v>
      </c>
      <c r="E11" s="2" t="s">
        <v>985</v>
      </c>
      <c r="F11" s="2" t="s">
        <v>986</v>
      </c>
      <c r="G11" s="2" t="s">
        <v>987</v>
      </c>
      <c r="H11" s="2" t="n">
        <v>1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12" min="8" style="0" width="12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988</v>
      </c>
      <c r="B1" s="1" t="s">
        <v>989</v>
      </c>
      <c r="C1" s="1" t="s">
        <v>3</v>
      </c>
      <c r="D1" s="1" t="s">
        <v>1</v>
      </c>
      <c r="E1" s="1" t="s">
        <v>990</v>
      </c>
      <c r="F1" s="1" t="s">
        <v>991</v>
      </c>
      <c r="G1" s="1" t="s">
        <v>992</v>
      </c>
      <c r="H1" s="1" t="s">
        <v>993</v>
      </c>
      <c r="I1" s="1" t="s">
        <v>994</v>
      </c>
      <c r="J1" s="1" t="s">
        <v>995</v>
      </c>
      <c r="K1" s="1" t="s">
        <v>996</v>
      </c>
      <c r="L1" s="1" t="s">
        <v>997</v>
      </c>
      <c r="M1" s="1" t="s">
        <v>998</v>
      </c>
      <c r="N1" s="1" t="s">
        <v>16</v>
      </c>
    </row>
    <row r="2" customFormat="false" ht="15" hidden="false" customHeight="false" outlineLevel="0" collapsed="false">
      <c r="A2" s="2" t="s">
        <v>999</v>
      </c>
      <c r="B2" s="2" t="s">
        <v>1000</v>
      </c>
      <c r="C2" s="2" t="s">
        <v>1001</v>
      </c>
      <c r="D2" s="2" t="s">
        <v>18</v>
      </c>
      <c r="E2" s="2" t="s">
        <v>1002</v>
      </c>
      <c r="F2" s="2" t="s">
        <v>404</v>
      </c>
      <c r="G2" s="2" t="n">
        <v>0.08</v>
      </c>
      <c r="H2" s="2"/>
      <c r="I2" s="2"/>
      <c r="J2" s="2"/>
      <c r="K2" s="2"/>
      <c r="L2" s="2"/>
      <c r="M2" s="2"/>
      <c r="N2" s="2" t="s">
        <v>1003</v>
      </c>
    </row>
    <row r="3" customFormat="false" ht="15" hidden="false" customHeight="false" outlineLevel="0" collapsed="false">
      <c r="A3" s="2" t="s">
        <v>1004</v>
      </c>
      <c r="B3" s="2" t="s">
        <v>1000</v>
      </c>
      <c r="C3" s="2" t="s">
        <v>1005</v>
      </c>
      <c r="D3" s="2" t="s">
        <v>87</v>
      </c>
      <c r="E3" s="2" t="s">
        <v>1006</v>
      </c>
      <c r="F3" s="2" t="s">
        <v>22</v>
      </c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 t="s">
        <v>1007</v>
      </c>
      <c r="B4" s="2" t="s">
        <v>1008</v>
      </c>
      <c r="C4" s="2" t="s">
        <v>1009</v>
      </c>
      <c r="D4" s="2" t="s">
        <v>622</v>
      </c>
      <c r="E4" s="2" t="s">
        <v>1006</v>
      </c>
      <c r="F4" s="2" t="s">
        <v>22</v>
      </c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 t="s">
        <v>1010</v>
      </c>
      <c r="B5" s="2" t="s">
        <v>1011</v>
      </c>
      <c r="C5" s="2" t="s">
        <v>1012</v>
      </c>
      <c r="D5" s="2" t="s">
        <v>204</v>
      </c>
      <c r="E5" s="2" t="s">
        <v>89</v>
      </c>
      <c r="F5" s="2" t="s">
        <v>22</v>
      </c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 t="s">
        <v>1013</v>
      </c>
      <c r="B6" s="2" t="s">
        <v>1000</v>
      </c>
      <c r="C6" s="2" t="s">
        <v>1014</v>
      </c>
      <c r="D6" s="2" t="s">
        <v>18</v>
      </c>
      <c r="E6" s="2" t="s">
        <v>1015</v>
      </c>
      <c r="F6" s="2" t="s">
        <v>412</v>
      </c>
      <c r="G6" s="2" t="n">
        <v>0.72</v>
      </c>
      <c r="H6" s="2"/>
      <c r="I6" s="2"/>
      <c r="J6" s="2"/>
      <c r="K6" s="2"/>
      <c r="L6" s="2"/>
      <c r="M6" s="2"/>
      <c r="N6" s="2" t="s">
        <v>1016</v>
      </c>
    </row>
    <row r="7" customFormat="false" ht="15" hidden="false" customHeight="false" outlineLevel="0" collapsed="false">
      <c r="A7" s="2" t="s">
        <v>1017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 t="s">
        <v>1018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 t="s">
        <v>1019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 t="s">
        <v>1020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 t="s">
        <v>1021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 t="s">
        <v>1022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 t="s">
        <v>1023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 t="s">
        <v>1024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 t="s">
        <v>1025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 t="s">
        <v>1026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 t="s">
        <v>1027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 t="s">
        <v>1028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 t="s">
        <v>1029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 t="s">
        <v>1030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 t="s">
        <v>1031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 t="s">
        <v>1032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 t="s">
        <v>1033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 t="s">
        <v>1034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 t="s">
        <v>1035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 t="s">
        <v>1036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 t="s">
        <v>1037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 t="s">
        <v>1038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 t="s">
        <v>1039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 t="s">
        <v>1040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 t="s">
        <v>1041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5" min="4" style="0" width="45"/>
  </cols>
  <sheetData>
    <row r="1" customFormat="false" ht="30" hidden="false" customHeight="true" outlineLevel="0" collapsed="false">
      <c r="A1" s="1" t="s">
        <v>1042</v>
      </c>
      <c r="B1" s="1" t="s">
        <v>913</v>
      </c>
      <c r="C1" s="1" t="s">
        <v>1043</v>
      </c>
      <c r="D1" s="1" t="s">
        <v>912</v>
      </c>
      <c r="E1" s="1" t="s">
        <v>1044</v>
      </c>
    </row>
    <row r="2" customFormat="false" ht="23.85" hidden="false" customHeight="false" outlineLevel="0" collapsed="false">
      <c r="A2" s="2" t="s">
        <v>1045</v>
      </c>
      <c r="B2" s="2" t="s">
        <v>1046</v>
      </c>
      <c r="C2" s="2" t="s">
        <v>1047</v>
      </c>
      <c r="D2" s="2" t="s">
        <v>1048</v>
      </c>
      <c r="E2" s="2" t="s">
        <v>1049</v>
      </c>
    </row>
    <row r="3" customFormat="false" ht="23.85" hidden="false" customHeight="false" outlineLevel="0" collapsed="false">
      <c r="A3" s="2" t="s">
        <v>1050</v>
      </c>
      <c r="B3" s="2" t="s">
        <v>1051</v>
      </c>
      <c r="C3" s="2" t="s">
        <v>1052</v>
      </c>
      <c r="D3" s="2" t="s">
        <v>1053</v>
      </c>
      <c r="E3" s="2" t="s">
        <v>1054</v>
      </c>
    </row>
    <row r="4" customFormat="false" ht="23.85" hidden="false" customHeight="false" outlineLevel="0" collapsed="false">
      <c r="A4" s="2" t="s">
        <v>1055</v>
      </c>
      <c r="B4" s="2" t="s">
        <v>1056</v>
      </c>
      <c r="C4" s="2" t="s">
        <v>1057</v>
      </c>
      <c r="D4" s="2" t="s">
        <v>1058</v>
      </c>
      <c r="E4" s="2" t="s">
        <v>1059</v>
      </c>
    </row>
    <row r="5" customFormat="false" ht="23.85" hidden="false" customHeight="false" outlineLevel="0" collapsed="false">
      <c r="A5" s="2" t="s">
        <v>991</v>
      </c>
      <c r="B5" s="2" t="s">
        <v>1060</v>
      </c>
      <c r="C5" s="2" t="s">
        <v>1061</v>
      </c>
      <c r="D5" s="2" t="s">
        <v>1062</v>
      </c>
      <c r="E5" s="2" t="s">
        <v>1063</v>
      </c>
    </row>
    <row r="6" customFormat="false" ht="23.85" hidden="false" customHeight="false" outlineLevel="0" collapsed="false">
      <c r="A6" s="2" t="s">
        <v>1064</v>
      </c>
      <c r="B6" s="2" t="s">
        <v>1065</v>
      </c>
      <c r="C6" s="2" t="s">
        <v>1066</v>
      </c>
      <c r="D6" s="2" t="s">
        <v>1067</v>
      </c>
      <c r="E6" s="2" t="s">
        <v>1068</v>
      </c>
    </row>
    <row r="7" customFormat="false" ht="23.85" hidden="false" customHeight="false" outlineLevel="0" collapsed="false">
      <c r="A7" s="2" t="s">
        <v>1069</v>
      </c>
      <c r="B7" s="2" t="s">
        <v>1070</v>
      </c>
      <c r="C7" s="2" t="s">
        <v>1071</v>
      </c>
      <c r="D7" s="2" t="s">
        <v>1072</v>
      </c>
      <c r="E7" s="2" t="s">
        <v>1073</v>
      </c>
    </row>
    <row r="8" customFormat="false" ht="23.85" hidden="false" customHeight="false" outlineLevel="0" collapsed="false">
      <c r="A8" s="2" t="s">
        <v>1074</v>
      </c>
      <c r="B8" s="2" t="s">
        <v>1075</v>
      </c>
      <c r="C8" s="2" t="s">
        <v>1076</v>
      </c>
      <c r="D8" s="2" t="s">
        <v>1077</v>
      </c>
      <c r="E8" s="2" t="s">
        <v>1078</v>
      </c>
    </row>
    <row r="9" customFormat="false" ht="23.85" hidden="false" customHeight="false" outlineLevel="0" collapsed="false">
      <c r="A9" s="2" t="s">
        <v>1079</v>
      </c>
      <c r="B9" s="2" t="s">
        <v>1080</v>
      </c>
      <c r="C9" s="2" t="s">
        <v>1081</v>
      </c>
      <c r="D9" s="2" t="s">
        <v>1082</v>
      </c>
      <c r="E9" s="2" t="s">
        <v>1083</v>
      </c>
    </row>
    <row r="10" customFormat="false" ht="35.05" hidden="false" customHeight="false" outlineLevel="0" collapsed="false">
      <c r="A10" s="2" t="s">
        <v>1084</v>
      </c>
      <c r="B10" s="2" t="s">
        <v>1085</v>
      </c>
      <c r="C10" s="2" t="s">
        <v>1086</v>
      </c>
      <c r="D10" s="2" t="s">
        <v>1087</v>
      </c>
      <c r="E10" s="2" t="s">
        <v>1088</v>
      </c>
    </row>
    <row r="11" customFormat="false" ht="35.05" hidden="false" customHeight="false" outlineLevel="0" collapsed="false">
      <c r="A11" s="2" t="s">
        <v>1089</v>
      </c>
      <c r="B11" s="2" t="s">
        <v>1090</v>
      </c>
      <c r="C11" s="2" t="s">
        <v>1091</v>
      </c>
      <c r="D11" s="2" t="s">
        <v>1092</v>
      </c>
      <c r="E11" s="2" t="s">
        <v>1093</v>
      </c>
    </row>
    <row r="12" customFormat="false" ht="23.85" hidden="false" customHeight="false" outlineLevel="0" collapsed="false">
      <c r="A12" s="2" t="s">
        <v>1094</v>
      </c>
      <c r="B12" s="2" t="s">
        <v>1095</v>
      </c>
      <c r="C12" s="2" t="s">
        <v>1096</v>
      </c>
      <c r="D12" s="2" t="s">
        <v>1097</v>
      </c>
      <c r="E12" s="2" t="s">
        <v>1098</v>
      </c>
    </row>
    <row r="13" customFormat="false" ht="23.85" hidden="false" customHeight="false" outlineLevel="0" collapsed="false">
      <c r="A13" s="2" t="s">
        <v>1099</v>
      </c>
      <c r="B13" s="2" t="s">
        <v>1100</v>
      </c>
      <c r="C13" s="2" t="s">
        <v>1101</v>
      </c>
      <c r="D13" s="2" t="s">
        <v>1102</v>
      </c>
      <c r="E13" s="2" t="s">
        <v>1103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</cols>
  <sheetData>
    <row r="1" customFormat="false" ht="30" hidden="false" customHeight="true" outlineLevel="0" collapsed="false">
      <c r="A1" s="1" t="s">
        <v>1042</v>
      </c>
      <c r="B1" s="1" t="s">
        <v>1104</v>
      </c>
    </row>
    <row r="2" customFormat="false" ht="15" hidden="false" customHeight="false" outlineLevel="0" collapsed="false">
      <c r="A2" s="3" t="s">
        <v>1105</v>
      </c>
      <c r="B2" s="2" t="n">
        <f aca="false">COUNTA('Prediction Questions'!A2:A1000)</f>
        <v>63</v>
      </c>
    </row>
    <row r="3" customFormat="false" ht="15" hidden="false" customHeight="false" outlineLevel="0" collapsed="false">
      <c r="A3" s="2" t="s">
        <v>1106</v>
      </c>
      <c r="B3" s="2" t="n">
        <f aca="false">COUNTIF('Prediction Questions'!B2:B1000,"Economics")</f>
        <v>15</v>
      </c>
    </row>
    <row r="4" customFormat="false" ht="15" hidden="false" customHeight="false" outlineLevel="0" collapsed="false">
      <c r="A4" s="2" t="s">
        <v>1107</v>
      </c>
      <c r="B4" s="2" t="n">
        <f aca="false">COUNTIF('Prediction Questions'!B2:B1000,"Geopolitics")</f>
        <v>10</v>
      </c>
    </row>
    <row r="5" customFormat="false" ht="15" hidden="false" customHeight="false" outlineLevel="0" collapsed="false">
      <c r="A5" s="2" t="s">
        <v>1108</v>
      </c>
      <c r="B5" s="2" t="n">
        <f aca="false">COUNTIF('Prediction Questions'!B2:B1000,"Technology")</f>
        <v>10</v>
      </c>
    </row>
    <row r="6" customFormat="false" ht="15" hidden="false" customHeight="false" outlineLevel="0" collapsed="false">
      <c r="A6" s="2" t="s">
        <v>1109</v>
      </c>
      <c r="B6" s="2" t="n">
        <f aca="false">COUNTIF('Prediction Questions'!B2:B1000,"US Politics")</f>
        <v>5</v>
      </c>
    </row>
    <row r="7" customFormat="false" ht="15" hidden="false" customHeight="false" outlineLevel="0" collapsed="false">
      <c r="A7" s="2" t="s">
        <v>1110</v>
      </c>
      <c r="B7" s="2" t="n">
        <f aca="false">COUNTIF('Prediction Questions'!B2:B1000,"Science")</f>
        <v>5</v>
      </c>
    </row>
    <row r="8" customFormat="false" ht="15" hidden="false" customHeight="false" outlineLevel="0" collapsed="false">
      <c r="A8" s="2" t="s">
        <v>1111</v>
      </c>
      <c r="B8" s="2" t="n">
        <f aca="false">COUNTIF('Prediction Questions'!B2:B1000,"Sports")</f>
        <v>5</v>
      </c>
    </row>
    <row r="9" customFormat="false" ht="15" hidden="false" customHeight="false" outlineLevel="0" collapsed="false">
      <c r="A9" s="2" t="s">
        <v>1112</v>
      </c>
      <c r="B9" s="2" t="n">
        <f aca="false">COUNTIF('Prediction Questions'!B2:B1000,"Culture")</f>
        <v>3</v>
      </c>
    </row>
    <row r="10" customFormat="false" ht="15" hidden="false" customHeight="false" outlineLevel="0" collapsed="false">
      <c r="A10" s="2" t="s">
        <v>1113</v>
      </c>
      <c r="B10" s="2" t="n">
        <f aca="false">COUNTIF('Prediction Questions'!B2:B1000,"Historical")</f>
        <v>10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3" t="s">
        <v>1114</v>
      </c>
      <c r="B12" s="2" t="n">
        <f aca="false">COUNTIF('Prediction Questions'!F2:F1000,"YES")+COUNTIF('Prediction Questions'!F2:F1000,"NO")</f>
        <v>10</v>
      </c>
    </row>
    <row r="13" customFormat="false" ht="15" hidden="false" customHeight="false" outlineLevel="0" collapsed="false">
      <c r="A13" s="3" t="s">
        <v>1115</v>
      </c>
      <c r="B13" s="2" t="n">
        <f aca="false">COUNTIF('Prediction Questions'!F2:F1000,"PENDING")</f>
        <v>53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3" t="s">
        <v>1116</v>
      </c>
      <c r="B15" s="2" t="n">
        <f aca="false">COUNTA('Mode Collapse Tests'!A2:A1000)</f>
        <v>15</v>
      </c>
    </row>
    <row r="16" customFormat="false" ht="15" hidden="false" customHeight="false" outlineLevel="0" collapsed="false">
      <c r="A16" s="3" t="s">
        <v>1117</v>
      </c>
      <c r="B16" s="2" t="n">
        <f aca="false">COUNTA('Calibration Benchmarks'!A2:A1000)</f>
        <v>30</v>
      </c>
    </row>
    <row r="17" customFormat="false" ht="15" hidden="false" customHeight="false" outlineLevel="0" collapsed="false">
      <c r="A17" s="3" t="s">
        <v>1118</v>
      </c>
      <c r="B17" s="2" t="n">
        <f aca="false">COUNTA('Agent Diversity Specs'!A2:A1000)</f>
        <v>25</v>
      </c>
    </row>
    <row r="18" customFormat="false" ht="15" hidden="false" customHeight="false" outlineLevel="0" collapsed="false">
      <c r="A18" s="3" t="s">
        <v>1119</v>
      </c>
      <c r="B18" s="2" t="n">
        <f aca="false">COUNTA('Context Ablation'!A2:A1000)</f>
        <v>10</v>
      </c>
    </row>
    <row r="19" customFormat="false" ht="15" hidden="false" customHeight="false" outlineLevel="0" collapsed="false">
      <c r="A19" s="3" t="s">
        <v>1120</v>
      </c>
      <c r="B19" s="2" t="n">
        <f aca="false">COUNTA('Aggregation Methods'!A2:A1000)</f>
        <v>10</v>
      </c>
    </row>
    <row r="20" customFormat="false" ht="15" hidden="false" customHeight="false" outlineLevel="0" collapsed="false">
      <c r="A20" s="3" t="s">
        <v>1121</v>
      </c>
      <c r="B20" s="2" t="n">
        <f aca="false">COUNTA('Backtest Registry'!A2:A1000)</f>
        <v>30</v>
      </c>
    </row>
    <row r="21" customFormat="false" ht="15" hidden="false" customHeight="false" outlineLevel="0" collapsed="false">
      <c r="A21" s="3" t="s">
        <v>1122</v>
      </c>
      <c r="B21" s="2" t="n">
        <f aca="false">COUNTA('Scoring Formulas'!A2:A1000)</f>
        <v>12</v>
      </c>
    </row>
  </sheetData>
  <autoFilter ref="A1:B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2026-03-24T00:31:37Z</dcterms:created>
  <dc:creator>openpyxl</dc:creator>
  <dc:description/>
  <dc:language>en-US</dc:language>
  <cp:lastModifiedBy/>
  <dcterms:modified xsi:type="dcterms:W3CDTF">2026-03-24T00:31:37Z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